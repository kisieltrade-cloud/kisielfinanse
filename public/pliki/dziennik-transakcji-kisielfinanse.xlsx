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Instrukc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##"/>
    <numFmt numFmtId="165" formatCode="#,##0 &quot;zł&quot;"/>
    <numFmt numFmtId="166" formatCode="+0.00&quot; R&quot;;-0.00&quot; R&quot;;0&quot; R&quot;"/>
    <numFmt numFmtId="167" formatCode="+0.00&quot; R&quot;"/>
    <numFmt numFmtId="168" formatCode="+0.00&quot; R&quot;;-0.00&quot; R&quot;"/>
  </numFmts>
  <fonts count="9">
    <font>
      <name val="Calibri"/>
      <family val="2"/>
      <color theme="1"/>
      <sz val="11"/>
      <scheme val="minor"/>
    </font>
    <font>
      <name val="Calibri"/>
      <b val="1"/>
      <color rgb="000A0E1A"/>
      <sz val="10"/>
    </font>
    <font>
      <b val="1"/>
      <color rgb="000A0E1A"/>
      <sz val="14"/>
    </font>
    <font>
      <i val="1"/>
      <color rgb="006B7280"/>
      <sz val="9"/>
    </font>
    <font>
      <color rgb="0013182A"/>
      <sz val="11"/>
    </font>
    <font>
      <b val="1"/>
      <color rgb="000A0E1A"/>
      <sz val="12"/>
    </font>
    <font>
      <b val="1"/>
      <color rgb="000A0E1A"/>
      <sz val="18"/>
    </font>
    <font>
      <color rgb="002563EB"/>
      <sz val="11"/>
      <u val="single"/>
    </font>
    <font>
      <b val="1"/>
      <color rgb="00C9A227"/>
      <sz val="13"/>
    </font>
  </fonts>
  <fills count="3">
    <fill>
      <patternFill/>
    </fill>
    <fill>
      <patternFill patternType="gray125"/>
    </fill>
    <fill>
      <patternFill patternType="solid">
        <fgColor rgb="00C9A227"/>
      </patternFill>
    </fill>
  </fills>
  <borders count="3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  <border>
      <bottom style="thin">
        <color rgb="00D8DE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2" pivotButton="0" quotePrefix="0" xfId="0"/>
    <xf numFmtId="1" fontId="5" fillId="0" borderId="2" applyAlignment="1" pivotButton="0" quotePrefix="0" xfId="0">
      <alignment horizontal="right"/>
    </xf>
    <xf numFmtId="9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2" fontId="5" fillId="0" borderId="2" applyAlignment="1" pivotButton="0" quotePrefix="0" xfId="0">
      <alignment horizontal="right"/>
    </xf>
    <xf numFmtId="167" fontId="5" fillId="0" borderId="2" applyAlignment="1" pivotButton="0" quotePrefix="0" xfId="0">
      <alignment horizontal="right"/>
    </xf>
    <xf numFmtId="168" fontId="5" fillId="0" borderId="2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16A34A"/>
        <sz val="10"/>
      </font>
      <fill>
        <patternFill patternType="solid">
          <fgColor rgb="00DCF5E4"/>
        </patternFill>
      </fill>
    </dxf>
    <dxf>
      <font>
        <b val="1"/>
        <color rgb="00EF4453"/>
        <sz val="10"/>
      </font>
      <fill>
        <patternFill patternType="solid">
          <fgColor rgb="00FBE0E3"/>
        </patternFill>
      </fill>
    </dxf>
    <dxf>
      <font>
        <b val="1"/>
        <color rgb="0016A34A"/>
        <sz val="10"/>
      </font>
    </dxf>
    <dxf>
      <font>
        <b val="1"/>
        <color rgb="00EF4453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Krzywa kapitału (skumulowane R)</a:t>
            </a:r>
          </a:p>
        </rich>
      </tx>
    </title>
    <plotArea>
      <lineChart>
        <grouping val="standard"/>
        <ser>
          <idx val="0"/>
          <order val="0"/>
          <tx>
            <strRef>
              <f>'Dziennik'!L1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'Dziennik'!$L$2:$L$121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Transakcja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Skum. 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2" customWidth="1" min="10" max="10"/>
    <col width="10" customWidth="1" min="11" max="11"/>
    <col width="10" customWidth="1" min="12" max="12"/>
    <col width="34" customWidth="1" min="13" max="13"/>
    <col width="13" customWidth="1" min="14" max="14"/>
  </cols>
  <sheetData>
    <row r="1" ht="30" customHeight="1">
      <c r="A1" s="1" t="inlineStr">
        <is>
          <t>Lp.</t>
        </is>
      </c>
      <c r="B1" s="1" t="inlineStr">
        <is>
          <t>Data</t>
        </is>
      </c>
      <c r="C1" s="1" t="inlineStr">
        <is>
          <t>Instrument</t>
        </is>
      </c>
      <c r="D1" s="1" t="inlineStr">
        <is>
          <t>Kierunek</t>
        </is>
      </c>
      <c r="E1" s="1" t="inlineStr">
        <is>
          <t>Wejście</t>
        </is>
      </c>
      <c r="F1" s="1" t="inlineStr">
        <is>
          <t>Stop Loss</t>
        </is>
      </c>
      <c r="G1" s="1" t="inlineStr">
        <is>
          <t>Wyjście</t>
        </is>
      </c>
      <c r="H1" s="1" t="inlineStr">
        <is>
          <t>Ryzyko (zł)</t>
        </is>
      </c>
      <c r="I1" s="1" t="inlineStr">
        <is>
          <t>Wynik (R)</t>
        </is>
      </c>
      <c r="J1" s="1" t="inlineStr">
        <is>
          <t>Wynik (zł)</t>
        </is>
      </c>
      <c r="K1" s="1" t="inlineStr">
        <is>
          <t>Wynik</t>
        </is>
      </c>
      <c r="L1" s="1" t="inlineStr">
        <is>
          <t>Skum. R</t>
        </is>
      </c>
      <c r="M1" s="1" t="inlineStr">
        <is>
          <t>Notatka / setup</t>
        </is>
      </c>
      <c r="N1" s="1" t="inlineStr">
        <is>
          <t>Emocja</t>
        </is>
      </c>
    </row>
    <row r="2">
      <c r="A2" s="2" t="n">
        <v>1</v>
      </c>
      <c r="B2" s="3" t="inlineStr">
        <is>
          <t>2026-06-02</t>
        </is>
      </c>
      <c r="C2" s="3" t="inlineStr">
        <is>
          <t>EUR/USD</t>
        </is>
      </c>
      <c r="D2" s="3" t="inlineStr">
        <is>
          <t>Long</t>
        </is>
      </c>
      <c r="E2" s="4" t="n">
        <v>1.082</v>
      </c>
      <c r="F2" s="4" t="n">
        <v>1.079</v>
      </c>
      <c r="G2" s="4" t="n">
        <v>1.091</v>
      </c>
      <c r="H2" s="5" t="n">
        <v>100</v>
      </c>
      <c r="I2" s="6">
        <f>IF(OR(E2="",F2="",G2="",D2=""),"",IFERROR(IF(D2="Long",(G2-E2)/(E2-F2),(E2-G2)/(F2-E2)),""))</f>
        <v/>
      </c>
      <c r="J2" s="5">
        <f>IF(OR(I2="",H2=""),"",I2*H2)</f>
        <v/>
      </c>
      <c r="K2" s="2">
        <f>IF(OR(E2="",G2="",D2=""),"",IF(ROUND(IF(D2="Long",G2-E2,E2-G2),8)=0,"BE",IF(IF(D2="Long",G2-E2,E2-G2)&gt;0,"Zysk","Strata")))</f>
        <v/>
      </c>
      <c r="L2" s="7">
        <f>IF(COUNT($I$2:I2)=0,"",SUM($I$2:I2))</f>
        <v/>
      </c>
      <c r="M2" s="3" t="inlineStr">
        <is>
          <t>Odbicie od wsparcia, engulfing H1</t>
        </is>
      </c>
      <c r="N2" s="3" t="inlineStr">
        <is>
          <t>Spokój</t>
        </is>
      </c>
    </row>
    <row r="3">
      <c r="A3" s="2" t="n">
        <v>2</v>
      </c>
      <c r="B3" s="3" t="inlineStr">
        <is>
          <t>2026-06-03</t>
        </is>
      </c>
      <c r="C3" s="3" t="inlineStr">
        <is>
          <t>US100</t>
        </is>
      </c>
      <c r="D3" s="3" t="inlineStr">
        <is>
          <t>Short</t>
        </is>
      </c>
      <c r="E3" s="4" t="n">
        <v>19850</v>
      </c>
      <c r="F3" s="4" t="n">
        <v>19980</v>
      </c>
      <c r="G3" s="4" t="n">
        <v>20040</v>
      </c>
      <c r="H3" s="5" t="n">
        <v>100</v>
      </c>
      <c r="I3" s="6">
        <f>IF(OR(E3="",F3="",G3="",D3=""),"",IFERROR(IF(D3="Long",(G3-E3)/(E3-F3),(E3-G3)/(F3-E3)),""))</f>
        <v/>
      </c>
      <c r="J3" s="5">
        <f>IF(OR(I3="",H3=""),"",I3*H3)</f>
        <v/>
      </c>
      <c r="K3" s="2">
        <f>IF(OR(E3="",G3="",D3=""),"",IF(ROUND(IF(D3="Long",G3-E3,E3-G3),8)=0,"BE",IF(IF(D3="Long",G3-E3,E3-G3)&gt;0,"Zysk","Strata")))</f>
        <v/>
      </c>
      <c r="L3" s="7">
        <f>IF(COUNT($I$2:I3)=0,"",SUM($I$2:I3))</f>
        <v/>
      </c>
      <c r="M3" s="3" t="inlineStr">
        <is>
          <t>Fałszywe wybicie, wszedłem za wcześnie</t>
        </is>
      </c>
      <c r="N3" s="3" t="inlineStr">
        <is>
          <t>FOMO</t>
        </is>
      </c>
    </row>
    <row r="4">
      <c r="A4" s="2" t="n">
        <v>3</v>
      </c>
      <c r="B4" s="3" t="inlineStr">
        <is>
          <t>2026-06-05</t>
        </is>
      </c>
      <c r="C4" s="3" t="inlineStr">
        <is>
          <t>BTC/USD</t>
        </is>
      </c>
      <c r="D4" s="3" t="inlineStr">
        <is>
          <t>Long</t>
        </is>
      </c>
      <c r="E4" s="4" t="n">
        <v>68200</v>
      </c>
      <c r="F4" s="4" t="n">
        <v>66800</v>
      </c>
      <c r="G4" s="4" t="n">
        <v>72600</v>
      </c>
      <c r="H4" s="5" t="n">
        <v>100</v>
      </c>
      <c r="I4" s="6">
        <f>IF(OR(E4="",F4="",G4="",D4=""),"",IFERROR(IF(D4="Long",(G4-E4)/(E4-F4),(E4-G4)/(F4-E4)),""))</f>
        <v/>
      </c>
      <c r="J4" s="5">
        <f>IF(OR(I4="",H4=""),"",I4*H4)</f>
        <v/>
      </c>
      <c r="K4" s="2">
        <f>IF(OR(E4="",G4="",D4=""),"",IF(ROUND(IF(D4="Long",G4-E4,E4-G4),8)=0,"BE",IF(IF(D4="Long",G4-E4,E4-G4)&gt;0,"Zysk","Strata")))</f>
        <v/>
      </c>
      <c r="L4" s="7">
        <f>IF(COUNT($I$2:I4)=0,"",SUM($I$2:I4))</f>
        <v/>
      </c>
      <c r="M4" s="3" t="inlineStr">
        <is>
          <t>Flaga byka, trzymałem do TP</t>
        </is>
      </c>
      <c r="N4" s="3" t="inlineStr">
        <is>
          <t>Pewność</t>
        </is>
      </c>
    </row>
    <row r="5">
      <c r="A5" s="2" t="n">
        <v>4</v>
      </c>
      <c r="B5" s="3" t="n"/>
      <c r="C5" s="3" t="n"/>
      <c r="D5" s="3" t="n"/>
      <c r="E5" s="4" t="n"/>
      <c r="F5" s="4" t="n"/>
      <c r="G5" s="4" t="n"/>
      <c r="H5" s="5" t="n"/>
      <c r="I5" s="6">
        <f>IF(OR(E5="",F5="",G5="",D5=""),"",IFERROR(IF(D5="Long",(G5-E5)/(E5-F5),(E5-G5)/(F5-E5)),""))</f>
        <v/>
      </c>
      <c r="J5" s="5">
        <f>IF(OR(I5="",H5=""),"",I5*H5)</f>
        <v/>
      </c>
      <c r="K5" s="2">
        <f>IF(OR(E5="",G5="",D5=""),"",IF(ROUND(IF(D5="Long",G5-E5,E5-G5),8)=0,"BE",IF(IF(D5="Long",G5-E5,E5-G5)&gt;0,"Zysk","Strata")))</f>
        <v/>
      </c>
      <c r="L5" s="7">
        <f>IF(COUNT($I$2:I5)=0,"",SUM($I$2:I5))</f>
        <v/>
      </c>
      <c r="M5" s="3" t="n"/>
      <c r="N5" s="3" t="n"/>
    </row>
    <row r="6">
      <c r="A6" s="2" t="n">
        <v>5</v>
      </c>
      <c r="B6" s="3" t="n"/>
      <c r="C6" s="3" t="n"/>
      <c r="D6" s="3" t="n"/>
      <c r="E6" s="4" t="n"/>
      <c r="F6" s="4" t="n"/>
      <c r="G6" s="4" t="n"/>
      <c r="H6" s="5" t="n"/>
      <c r="I6" s="6">
        <f>IF(OR(E6="",F6="",G6="",D6=""),"",IFERROR(IF(D6="Long",(G6-E6)/(E6-F6),(E6-G6)/(F6-E6)),""))</f>
        <v/>
      </c>
      <c r="J6" s="5">
        <f>IF(OR(I6="",H6=""),"",I6*H6)</f>
        <v/>
      </c>
      <c r="K6" s="2">
        <f>IF(OR(E6="",G6="",D6=""),"",IF(ROUND(IF(D6="Long",G6-E6,E6-G6),8)=0,"BE",IF(IF(D6="Long",G6-E6,E6-G6)&gt;0,"Zysk","Strata")))</f>
        <v/>
      </c>
      <c r="L6" s="7">
        <f>IF(COUNT($I$2:I6)=0,"",SUM($I$2:I6))</f>
        <v/>
      </c>
      <c r="M6" s="3" t="n"/>
      <c r="N6" s="3" t="n"/>
    </row>
    <row r="7">
      <c r="A7" s="2" t="n">
        <v>6</v>
      </c>
      <c r="B7" s="3" t="n"/>
      <c r="C7" s="3" t="n"/>
      <c r="D7" s="3" t="n"/>
      <c r="E7" s="4" t="n"/>
      <c r="F7" s="4" t="n"/>
      <c r="G7" s="4" t="n"/>
      <c r="H7" s="5" t="n"/>
      <c r="I7" s="6">
        <f>IF(OR(E7="",F7="",G7="",D7=""),"",IFERROR(IF(D7="Long",(G7-E7)/(E7-F7),(E7-G7)/(F7-E7)),""))</f>
        <v/>
      </c>
      <c r="J7" s="5">
        <f>IF(OR(I7="",H7=""),"",I7*H7)</f>
        <v/>
      </c>
      <c r="K7" s="2">
        <f>IF(OR(E7="",G7="",D7=""),"",IF(ROUND(IF(D7="Long",G7-E7,E7-G7),8)=0,"BE",IF(IF(D7="Long",G7-E7,E7-G7)&gt;0,"Zysk","Strata")))</f>
        <v/>
      </c>
      <c r="L7" s="7">
        <f>IF(COUNT($I$2:I7)=0,"",SUM($I$2:I7))</f>
        <v/>
      </c>
      <c r="M7" s="3" t="n"/>
      <c r="N7" s="3" t="n"/>
    </row>
    <row r="8">
      <c r="A8" s="2" t="n">
        <v>7</v>
      </c>
      <c r="B8" s="3" t="n"/>
      <c r="C8" s="3" t="n"/>
      <c r="D8" s="3" t="n"/>
      <c r="E8" s="4" t="n"/>
      <c r="F8" s="4" t="n"/>
      <c r="G8" s="4" t="n"/>
      <c r="H8" s="5" t="n"/>
      <c r="I8" s="6">
        <f>IF(OR(E8="",F8="",G8="",D8=""),"",IFERROR(IF(D8="Long",(G8-E8)/(E8-F8),(E8-G8)/(F8-E8)),""))</f>
        <v/>
      </c>
      <c r="J8" s="5">
        <f>IF(OR(I8="",H8=""),"",I8*H8)</f>
        <v/>
      </c>
      <c r="K8" s="2">
        <f>IF(OR(E8="",G8="",D8=""),"",IF(ROUND(IF(D8="Long",G8-E8,E8-G8),8)=0,"BE",IF(IF(D8="Long",G8-E8,E8-G8)&gt;0,"Zysk","Strata")))</f>
        <v/>
      </c>
      <c r="L8" s="7">
        <f>IF(COUNT($I$2:I8)=0,"",SUM($I$2:I8))</f>
        <v/>
      </c>
      <c r="M8" s="3" t="n"/>
      <c r="N8" s="3" t="n"/>
    </row>
    <row r="9">
      <c r="A9" s="2" t="n">
        <v>8</v>
      </c>
      <c r="B9" s="3" t="n"/>
      <c r="C9" s="3" t="n"/>
      <c r="D9" s="3" t="n"/>
      <c r="E9" s="4" t="n"/>
      <c r="F9" s="4" t="n"/>
      <c r="G9" s="4" t="n"/>
      <c r="H9" s="5" t="n"/>
      <c r="I9" s="6">
        <f>IF(OR(E9="",F9="",G9="",D9=""),"",IFERROR(IF(D9="Long",(G9-E9)/(E9-F9),(E9-G9)/(F9-E9)),""))</f>
        <v/>
      </c>
      <c r="J9" s="5">
        <f>IF(OR(I9="",H9=""),"",I9*H9)</f>
        <v/>
      </c>
      <c r="K9" s="2">
        <f>IF(OR(E9="",G9="",D9=""),"",IF(ROUND(IF(D9="Long",G9-E9,E9-G9),8)=0,"BE",IF(IF(D9="Long",G9-E9,E9-G9)&gt;0,"Zysk","Strata")))</f>
        <v/>
      </c>
      <c r="L9" s="7">
        <f>IF(COUNT($I$2:I9)=0,"",SUM($I$2:I9))</f>
        <v/>
      </c>
      <c r="M9" s="3" t="n"/>
      <c r="N9" s="3" t="n"/>
    </row>
    <row r="10">
      <c r="A10" s="2" t="n">
        <v>9</v>
      </c>
      <c r="B10" s="3" t="n"/>
      <c r="C10" s="3" t="n"/>
      <c r="D10" s="3" t="n"/>
      <c r="E10" s="4" t="n"/>
      <c r="F10" s="4" t="n"/>
      <c r="G10" s="4" t="n"/>
      <c r="H10" s="5" t="n"/>
      <c r="I10" s="6">
        <f>IF(OR(E10="",F10="",G10="",D10=""),"",IFERROR(IF(D10="Long",(G10-E10)/(E10-F10),(E10-G10)/(F10-E10)),""))</f>
        <v/>
      </c>
      <c r="J10" s="5">
        <f>IF(OR(I10="",H10=""),"",I10*H10)</f>
        <v/>
      </c>
      <c r="K10" s="2">
        <f>IF(OR(E10="",G10="",D10=""),"",IF(ROUND(IF(D10="Long",G10-E10,E10-G10),8)=0,"BE",IF(IF(D10="Long",G10-E10,E10-G10)&gt;0,"Zysk","Strata")))</f>
        <v/>
      </c>
      <c r="L10" s="7">
        <f>IF(COUNT($I$2:I10)=0,"",SUM($I$2:I10))</f>
        <v/>
      </c>
      <c r="M10" s="3" t="n"/>
      <c r="N10" s="3" t="n"/>
    </row>
    <row r="11">
      <c r="A11" s="2" t="n">
        <v>10</v>
      </c>
      <c r="B11" s="3" t="n"/>
      <c r="C11" s="3" t="n"/>
      <c r="D11" s="3" t="n"/>
      <c r="E11" s="4" t="n"/>
      <c r="F11" s="4" t="n"/>
      <c r="G11" s="4" t="n"/>
      <c r="H11" s="5" t="n"/>
      <c r="I11" s="6">
        <f>IF(OR(E11="",F11="",G11="",D11=""),"",IFERROR(IF(D11="Long",(G11-E11)/(E11-F11),(E11-G11)/(F11-E11)),""))</f>
        <v/>
      </c>
      <c r="J11" s="5">
        <f>IF(OR(I11="",H11=""),"",I11*H11)</f>
        <v/>
      </c>
      <c r="K11" s="2">
        <f>IF(OR(E11="",G11="",D11=""),"",IF(ROUND(IF(D11="Long",G11-E11,E11-G11),8)=0,"BE",IF(IF(D11="Long",G11-E11,E11-G11)&gt;0,"Zysk","Strata")))</f>
        <v/>
      </c>
      <c r="L11" s="7">
        <f>IF(COUNT($I$2:I11)=0,"",SUM($I$2:I11))</f>
        <v/>
      </c>
      <c r="M11" s="3" t="n"/>
      <c r="N11" s="3" t="n"/>
    </row>
    <row r="12">
      <c r="A12" s="2" t="n">
        <v>11</v>
      </c>
      <c r="B12" s="3" t="n"/>
      <c r="C12" s="3" t="n"/>
      <c r="D12" s="3" t="n"/>
      <c r="E12" s="4" t="n"/>
      <c r="F12" s="4" t="n"/>
      <c r="G12" s="4" t="n"/>
      <c r="H12" s="5" t="n"/>
      <c r="I12" s="6">
        <f>IF(OR(E12="",F12="",G12="",D12=""),"",IFERROR(IF(D12="Long",(G12-E12)/(E12-F12),(E12-G12)/(F12-E12)),""))</f>
        <v/>
      </c>
      <c r="J12" s="5">
        <f>IF(OR(I12="",H12=""),"",I12*H12)</f>
        <v/>
      </c>
      <c r="K12" s="2">
        <f>IF(OR(E12="",G12="",D12=""),"",IF(ROUND(IF(D12="Long",G12-E12,E12-G12),8)=0,"BE",IF(IF(D12="Long",G12-E12,E12-G12)&gt;0,"Zysk","Strata")))</f>
        <v/>
      </c>
      <c r="L12" s="7">
        <f>IF(COUNT($I$2:I12)=0,"",SUM($I$2:I12))</f>
        <v/>
      </c>
      <c r="M12" s="3" t="n"/>
      <c r="N12" s="3" t="n"/>
    </row>
    <row r="13">
      <c r="A13" s="2" t="n">
        <v>12</v>
      </c>
      <c r="B13" s="3" t="n"/>
      <c r="C13" s="3" t="n"/>
      <c r="D13" s="3" t="n"/>
      <c r="E13" s="4" t="n"/>
      <c r="F13" s="4" t="n"/>
      <c r="G13" s="4" t="n"/>
      <c r="H13" s="5" t="n"/>
      <c r="I13" s="6">
        <f>IF(OR(E13="",F13="",G13="",D13=""),"",IFERROR(IF(D13="Long",(G13-E13)/(E13-F13),(E13-G13)/(F13-E13)),""))</f>
        <v/>
      </c>
      <c r="J13" s="5">
        <f>IF(OR(I13="",H13=""),"",I13*H13)</f>
        <v/>
      </c>
      <c r="K13" s="2">
        <f>IF(OR(E13="",G13="",D13=""),"",IF(ROUND(IF(D13="Long",G13-E13,E13-G13),8)=0,"BE",IF(IF(D13="Long",G13-E13,E13-G13)&gt;0,"Zysk","Strata")))</f>
        <v/>
      </c>
      <c r="L13" s="7">
        <f>IF(COUNT($I$2:I13)=0,"",SUM($I$2:I13))</f>
        <v/>
      </c>
      <c r="M13" s="3" t="n"/>
      <c r="N13" s="3" t="n"/>
    </row>
    <row r="14">
      <c r="A14" s="2" t="n">
        <v>13</v>
      </c>
      <c r="B14" s="3" t="n"/>
      <c r="C14" s="3" t="n"/>
      <c r="D14" s="3" t="n"/>
      <c r="E14" s="4" t="n"/>
      <c r="F14" s="4" t="n"/>
      <c r="G14" s="4" t="n"/>
      <c r="H14" s="5" t="n"/>
      <c r="I14" s="6">
        <f>IF(OR(E14="",F14="",G14="",D14=""),"",IFERROR(IF(D14="Long",(G14-E14)/(E14-F14),(E14-G14)/(F14-E14)),""))</f>
        <v/>
      </c>
      <c r="J14" s="5">
        <f>IF(OR(I14="",H14=""),"",I14*H14)</f>
        <v/>
      </c>
      <c r="K14" s="2">
        <f>IF(OR(E14="",G14="",D14=""),"",IF(ROUND(IF(D14="Long",G14-E14,E14-G14),8)=0,"BE",IF(IF(D14="Long",G14-E14,E14-G14)&gt;0,"Zysk","Strata")))</f>
        <v/>
      </c>
      <c r="L14" s="7">
        <f>IF(COUNT($I$2:I14)=0,"",SUM($I$2:I14))</f>
        <v/>
      </c>
      <c r="M14" s="3" t="n"/>
      <c r="N14" s="3" t="n"/>
    </row>
    <row r="15">
      <c r="A15" s="2" t="n">
        <v>14</v>
      </c>
      <c r="B15" s="3" t="n"/>
      <c r="C15" s="3" t="n"/>
      <c r="D15" s="3" t="n"/>
      <c r="E15" s="4" t="n"/>
      <c r="F15" s="4" t="n"/>
      <c r="G15" s="4" t="n"/>
      <c r="H15" s="5" t="n"/>
      <c r="I15" s="6">
        <f>IF(OR(E15="",F15="",G15="",D15=""),"",IFERROR(IF(D15="Long",(G15-E15)/(E15-F15),(E15-G15)/(F15-E15)),""))</f>
        <v/>
      </c>
      <c r="J15" s="5">
        <f>IF(OR(I15="",H15=""),"",I15*H15)</f>
        <v/>
      </c>
      <c r="K15" s="2">
        <f>IF(OR(E15="",G15="",D15=""),"",IF(ROUND(IF(D15="Long",G15-E15,E15-G15),8)=0,"BE",IF(IF(D15="Long",G15-E15,E15-G15)&gt;0,"Zysk","Strata")))</f>
        <v/>
      </c>
      <c r="L15" s="7">
        <f>IF(COUNT($I$2:I15)=0,"",SUM($I$2:I15))</f>
        <v/>
      </c>
      <c r="M15" s="3" t="n"/>
      <c r="N15" s="3" t="n"/>
    </row>
    <row r="16">
      <c r="A16" s="2" t="n">
        <v>15</v>
      </c>
      <c r="B16" s="3" t="n"/>
      <c r="C16" s="3" t="n"/>
      <c r="D16" s="3" t="n"/>
      <c r="E16" s="4" t="n"/>
      <c r="F16" s="4" t="n"/>
      <c r="G16" s="4" t="n"/>
      <c r="H16" s="5" t="n"/>
      <c r="I16" s="6">
        <f>IF(OR(E16="",F16="",G16="",D16=""),"",IFERROR(IF(D16="Long",(G16-E16)/(E16-F16),(E16-G16)/(F16-E16)),""))</f>
        <v/>
      </c>
      <c r="J16" s="5">
        <f>IF(OR(I16="",H16=""),"",I16*H16)</f>
        <v/>
      </c>
      <c r="K16" s="2">
        <f>IF(OR(E16="",G16="",D16=""),"",IF(ROUND(IF(D16="Long",G16-E16,E16-G16),8)=0,"BE",IF(IF(D16="Long",G16-E16,E16-G16)&gt;0,"Zysk","Strata")))</f>
        <v/>
      </c>
      <c r="L16" s="7">
        <f>IF(COUNT($I$2:I16)=0,"",SUM($I$2:I16))</f>
        <v/>
      </c>
      <c r="M16" s="3" t="n"/>
      <c r="N16" s="3" t="n"/>
    </row>
    <row r="17">
      <c r="A17" s="2" t="n">
        <v>16</v>
      </c>
      <c r="B17" s="3" t="n"/>
      <c r="C17" s="3" t="n"/>
      <c r="D17" s="3" t="n"/>
      <c r="E17" s="4" t="n"/>
      <c r="F17" s="4" t="n"/>
      <c r="G17" s="4" t="n"/>
      <c r="H17" s="5" t="n"/>
      <c r="I17" s="6">
        <f>IF(OR(E17="",F17="",G17="",D17=""),"",IFERROR(IF(D17="Long",(G17-E17)/(E17-F17),(E17-G17)/(F17-E17)),""))</f>
        <v/>
      </c>
      <c r="J17" s="5">
        <f>IF(OR(I17="",H17=""),"",I17*H17)</f>
        <v/>
      </c>
      <c r="K17" s="2">
        <f>IF(OR(E17="",G17="",D17=""),"",IF(ROUND(IF(D17="Long",G17-E17,E17-G17),8)=0,"BE",IF(IF(D17="Long",G17-E17,E17-G17)&gt;0,"Zysk","Strata")))</f>
        <v/>
      </c>
      <c r="L17" s="7">
        <f>IF(COUNT($I$2:I17)=0,"",SUM($I$2:I17))</f>
        <v/>
      </c>
      <c r="M17" s="3" t="n"/>
      <c r="N17" s="3" t="n"/>
    </row>
    <row r="18">
      <c r="A18" s="2" t="n">
        <v>17</v>
      </c>
      <c r="B18" s="3" t="n"/>
      <c r="C18" s="3" t="n"/>
      <c r="D18" s="3" t="n"/>
      <c r="E18" s="4" t="n"/>
      <c r="F18" s="4" t="n"/>
      <c r="G18" s="4" t="n"/>
      <c r="H18" s="5" t="n"/>
      <c r="I18" s="6">
        <f>IF(OR(E18="",F18="",G18="",D18=""),"",IFERROR(IF(D18="Long",(G18-E18)/(E18-F18),(E18-G18)/(F18-E18)),""))</f>
        <v/>
      </c>
      <c r="J18" s="5">
        <f>IF(OR(I18="",H18=""),"",I18*H18)</f>
        <v/>
      </c>
      <c r="K18" s="2">
        <f>IF(OR(E18="",G18="",D18=""),"",IF(ROUND(IF(D18="Long",G18-E18,E18-G18),8)=0,"BE",IF(IF(D18="Long",G18-E18,E18-G18)&gt;0,"Zysk","Strata")))</f>
        <v/>
      </c>
      <c r="L18" s="7">
        <f>IF(COUNT($I$2:I18)=0,"",SUM($I$2:I18))</f>
        <v/>
      </c>
      <c r="M18" s="3" t="n"/>
      <c r="N18" s="3" t="n"/>
    </row>
    <row r="19">
      <c r="A19" s="2" t="n">
        <v>18</v>
      </c>
      <c r="B19" s="3" t="n"/>
      <c r="C19" s="3" t="n"/>
      <c r="D19" s="3" t="n"/>
      <c r="E19" s="4" t="n"/>
      <c r="F19" s="4" t="n"/>
      <c r="G19" s="4" t="n"/>
      <c r="H19" s="5" t="n"/>
      <c r="I19" s="6">
        <f>IF(OR(E19="",F19="",G19="",D19=""),"",IFERROR(IF(D19="Long",(G19-E19)/(E19-F19),(E19-G19)/(F19-E19)),""))</f>
        <v/>
      </c>
      <c r="J19" s="5">
        <f>IF(OR(I19="",H19=""),"",I19*H19)</f>
        <v/>
      </c>
      <c r="K19" s="2">
        <f>IF(OR(E19="",G19="",D19=""),"",IF(ROUND(IF(D19="Long",G19-E19,E19-G19),8)=0,"BE",IF(IF(D19="Long",G19-E19,E19-G19)&gt;0,"Zysk","Strata")))</f>
        <v/>
      </c>
      <c r="L19" s="7">
        <f>IF(COUNT($I$2:I19)=0,"",SUM($I$2:I19))</f>
        <v/>
      </c>
      <c r="M19" s="3" t="n"/>
      <c r="N19" s="3" t="n"/>
    </row>
    <row r="20">
      <c r="A20" s="2" t="n">
        <v>19</v>
      </c>
      <c r="B20" s="3" t="n"/>
      <c r="C20" s="3" t="n"/>
      <c r="D20" s="3" t="n"/>
      <c r="E20" s="4" t="n"/>
      <c r="F20" s="4" t="n"/>
      <c r="G20" s="4" t="n"/>
      <c r="H20" s="5" t="n"/>
      <c r="I20" s="6">
        <f>IF(OR(E20="",F20="",G20="",D20=""),"",IFERROR(IF(D20="Long",(G20-E20)/(E20-F20),(E20-G20)/(F20-E20)),""))</f>
        <v/>
      </c>
      <c r="J20" s="5">
        <f>IF(OR(I20="",H20=""),"",I20*H20)</f>
        <v/>
      </c>
      <c r="K20" s="2">
        <f>IF(OR(E20="",G20="",D20=""),"",IF(ROUND(IF(D20="Long",G20-E20,E20-G20),8)=0,"BE",IF(IF(D20="Long",G20-E20,E20-G20)&gt;0,"Zysk","Strata")))</f>
        <v/>
      </c>
      <c r="L20" s="7">
        <f>IF(COUNT($I$2:I20)=0,"",SUM($I$2:I20))</f>
        <v/>
      </c>
      <c r="M20" s="3" t="n"/>
      <c r="N20" s="3" t="n"/>
    </row>
    <row r="21">
      <c r="A21" s="2" t="n">
        <v>20</v>
      </c>
      <c r="B21" s="3" t="n"/>
      <c r="C21" s="3" t="n"/>
      <c r="D21" s="3" t="n"/>
      <c r="E21" s="4" t="n"/>
      <c r="F21" s="4" t="n"/>
      <c r="G21" s="4" t="n"/>
      <c r="H21" s="5" t="n"/>
      <c r="I21" s="6">
        <f>IF(OR(E21="",F21="",G21="",D21=""),"",IFERROR(IF(D21="Long",(G21-E21)/(E21-F21),(E21-G21)/(F21-E21)),""))</f>
        <v/>
      </c>
      <c r="J21" s="5">
        <f>IF(OR(I21="",H21=""),"",I21*H21)</f>
        <v/>
      </c>
      <c r="K21" s="2">
        <f>IF(OR(E21="",G21="",D21=""),"",IF(ROUND(IF(D21="Long",G21-E21,E21-G21),8)=0,"BE",IF(IF(D21="Long",G21-E21,E21-G21)&gt;0,"Zysk","Strata")))</f>
        <v/>
      </c>
      <c r="L21" s="7">
        <f>IF(COUNT($I$2:I21)=0,"",SUM($I$2:I21))</f>
        <v/>
      </c>
      <c r="M21" s="3" t="n"/>
      <c r="N21" s="3" t="n"/>
    </row>
    <row r="22">
      <c r="A22" s="2" t="n">
        <v>21</v>
      </c>
      <c r="B22" s="3" t="n"/>
      <c r="C22" s="3" t="n"/>
      <c r="D22" s="3" t="n"/>
      <c r="E22" s="4" t="n"/>
      <c r="F22" s="4" t="n"/>
      <c r="G22" s="4" t="n"/>
      <c r="H22" s="5" t="n"/>
      <c r="I22" s="6">
        <f>IF(OR(E22="",F22="",G22="",D22=""),"",IFERROR(IF(D22="Long",(G22-E22)/(E22-F22),(E22-G22)/(F22-E22)),""))</f>
        <v/>
      </c>
      <c r="J22" s="5">
        <f>IF(OR(I22="",H22=""),"",I22*H22)</f>
        <v/>
      </c>
      <c r="K22" s="2">
        <f>IF(OR(E22="",G22="",D22=""),"",IF(ROUND(IF(D22="Long",G22-E22,E22-G22),8)=0,"BE",IF(IF(D22="Long",G22-E22,E22-G22)&gt;0,"Zysk","Strata")))</f>
        <v/>
      </c>
      <c r="L22" s="7">
        <f>IF(COUNT($I$2:I22)=0,"",SUM($I$2:I22))</f>
        <v/>
      </c>
      <c r="M22" s="3" t="n"/>
      <c r="N22" s="3" t="n"/>
    </row>
    <row r="23">
      <c r="A23" s="2" t="n">
        <v>22</v>
      </c>
      <c r="B23" s="3" t="n"/>
      <c r="C23" s="3" t="n"/>
      <c r="D23" s="3" t="n"/>
      <c r="E23" s="4" t="n"/>
      <c r="F23" s="4" t="n"/>
      <c r="G23" s="4" t="n"/>
      <c r="H23" s="5" t="n"/>
      <c r="I23" s="6">
        <f>IF(OR(E23="",F23="",G23="",D23=""),"",IFERROR(IF(D23="Long",(G23-E23)/(E23-F23),(E23-G23)/(F23-E23)),""))</f>
        <v/>
      </c>
      <c r="J23" s="5">
        <f>IF(OR(I23="",H23=""),"",I23*H23)</f>
        <v/>
      </c>
      <c r="K23" s="2">
        <f>IF(OR(E23="",G23="",D23=""),"",IF(ROUND(IF(D23="Long",G23-E23,E23-G23),8)=0,"BE",IF(IF(D23="Long",G23-E23,E23-G23)&gt;0,"Zysk","Strata")))</f>
        <v/>
      </c>
      <c r="L23" s="7">
        <f>IF(COUNT($I$2:I23)=0,"",SUM($I$2:I23))</f>
        <v/>
      </c>
      <c r="M23" s="3" t="n"/>
      <c r="N23" s="3" t="n"/>
    </row>
    <row r="24">
      <c r="A24" s="2" t="n">
        <v>23</v>
      </c>
      <c r="B24" s="3" t="n"/>
      <c r="C24" s="3" t="n"/>
      <c r="D24" s="3" t="n"/>
      <c r="E24" s="4" t="n"/>
      <c r="F24" s="4" t="n"/>
      <c r="G24" s="4" t="n"/>
      <c r="H24" s="5" t="n"/>
      <c r="I24" s="6">
        <f>IF(OR(E24="",F24="",G24="",D24=""),"",IFERROR(IF(D24="Long",(G24-E24)/(E24-F24),(E24-G24)/(F24-E24)),""))</f>
        <v/>
      </c>
      <c r="J24" s="5">
        <f>IF(OR(I24="",H24=""),"",I24*H24)</f>
        <v/>
      </c>
      <c r="K24" s="2">
        <f>IF(OR(E24="",G24="",D24=""),"",IF(ROUND(IF(D24="Long",G24-E24,E24-G24),8)=0,"BE",IF(IF(D24="Long",G24-E24,E24-G24)&gt;0,"Zysk","Strata")))</f>
        <v/>
      </c>
      <c r="L24" s="7">
        <f>IF(COUNT($I$2:I24)=0,"",SUM($I$2:I24))</f>
        <v/>
      </c>
      <c r="M24" s="3" t="n"/>
      <c r="N24" s="3" t="n"/>
    </row>
    <row r="25">
      <c r="A25" s="2" t="n">
        <v>24</v>
      </c>
      <c r="B25" s="3" t="n"/>
      <c r="C25" s="3" t="n"/>
      <c r="D25" s="3" t="n"/>
      <c r="E25" s="4" t="n"/>
      <c r="F25" s="4" t="n"/>
      <c r="G25" s="4" t="n"/>
      <c r="H25" s="5" t="n"/>
      <c r="I25" s="6">
        <f>IF(OR(E25="",F25="",G25="",D25=""),"",IFERROR(IF(D25="Long",(G25-E25)/(E25-F25),(E25-G25)/(F25-E25)),""))</f>
        <v/>
      </c>
      <c r="J25" s="5">
        <f>IF(OR(I25="",H25=""),"",I25*H25)</f>
        <v/>
      </c>
      <c r="K25" s="2">
        <f>IF(OR(E25="",G25="",D25=""),"",IF(ROUND(IF(D25="Long",G25-E25,E25-G25),8)=0,"BE",IF(IF(D25="Long",G25-E25,E25-G25)&gt;0,"Zysk","Strata")))</f>
        <v/>
      </c>
      <c r="L25" s="7">
        <f>IF(COUNT($I$2:I25)=0,"",SUM($I$2:I25))</f>
        <v/>
      </c>
      <c r="M25" s="3" t="n"/>
      <c r="N25" s="3" t="n"/>
    </row>
    <row r="26">
      <c r="A26" s="2" t="n">
        <v>25</v>
      </c>
      <c r="B26" s="3" t="n"/>
      <c r="C26" s="3" t="n"/>
      <c r="D26" s="3" t="n"/>
      <c r="E26" s="4" t="n"/>
      <c r="F26" s="4" t="n"/>
      <c r="G26" s="4" t="n"/>
      <c r="H26" s="5" t="n"/>
      <c r="I26" s="6">
        <f>IF(OR(E26="",F26="",G26="",D26=""),"",IFERROR(IF(D26="Long",(G26-E26)/(E26-F26),(E26-G26)/(F26-E26)),""))</f>
        <v/>
      </c>
      <c r="J26" s="5">
        <f>IF(OR(I26="",H26=""),"",I26*H26)</f>
        <v/>
      </c>
      <c r="K26" s="2">
        <f>IF(OR(E26="",G26="",D26=""),"",IF(ROUND(IF(D26="Long",G26-E26,E26-G26),8)=0,"BE",IF(IF(D26="Long",G26-E26,E26-G26)&gt;0,"Zysk","Strata")))</f>
        <v/>
      </c>
      <c r="L26" s="7">
        <f>IF(COUNT($I$2:I26)=0,"",SUM($I$2:I26))</f>
        <v/>
      </c>
      <c r="M26" s="3" t="n"/>
      <c r="N26" s="3" t="n"/>
    </row>
    <row r="27">
      <c r="A27" s="2" t="n">
        <v>26</v>
      </c>
      <c r="B27" s="3" t="n"/>
      <c r="C27" s="3" t="n"/>
      <c r="D27" s="3" t="n"/>
      <c r="E27" s="4" t="n"/>
      <c r="F27" s="4" t="n"/>
      <c r="G27" s="4" t="n"/>
      <c r="H27" s="5" t="n"/>
      <c r="I27" s="6">
        <f>IF(OR(E27="",F27="",G27="",D27=""),"",IFERROR(IF(D27="Long",(G27-E27)/(E27-F27),(E27-G27)/(F27-E27)),""))</f>
        <v/>
      </c>
      <c r="J27" s="5">
        <f>IF(OR(I27="",H27=""),"",I27*H27)</f>
        <v/>
      </c>
      <c r="K27" s="2">
        <f>IF(OR(E27="",G27="",D27=""),"",IF(ROUND(IF(D27="Long",G27-E27,E27-G27),8)=0,"BE",IF(IF(D27="Long",G27-E27,E27-G27)&gt;0,"Zysk","Strata")))</f>
        <v/>
      </c>
      <c r="L27" s="7">
        <f>IF(COUNT($I$2:I27)=0,"",SUM($I$2:I27))</f>
        <v/>
      </c>
      <c r="M27" s="3" t="n"/>
      <c r="N27" s="3" t="n"/>
    </row>
    <row r="28">
      <c r="A28" s="2" t="n">
        <v>27</v>
      </c>
      <c r="B28" s="3" t="n"/>
      <c r="C28" s="3" t="n"/>
      <c r="D28" s="3" t="n"/>
      <c r="E28" s="4" t="n"/>
      <c r="F28" s="4" t="n"/>
      <c r="G28" s="4" t="n"/>
      <c r="H28" s="5" t="n"/>
      <c r="I28" s="6">
        <f>IF(OR(E28="",F28="",G28="",D28=""),"",IFERROR(IF(D28="Long",(G28-E28)/(E28-F28),(E28-G28)/(F28-E28)),""))</f>
        <v/>
      </c>
      <c r="J28" s="5">
        <f>IF(OR(I28="",H28=""),"",I28*H28)</f>
        <v/>
      </c>
      <c r="K28" s="2">
        <f>IF(OR(E28="",G28="",D28=""),"",IF(ROUND(IF(D28="Long",G28-E28,E28-G28),8)=0,"BE",IF(IF(D28="Long",G28-E28,E28-G28)&gt;0,"Zysk","Strata")))</f>
        <v/>
      </c>
      <c r="L28" s="7">
        <f>IF(COUNT($I$2:I28)=0,"",SUM($I$2:I28))</f>
        <v/>
      </c>
      <c r="M28" s="3" t="n"/>
      <c r="N28" s="3" t="n"/>
    </row>
    <row r="29">
      <c r="A29" s="2" t="n">
        <v>28</v>
      </c>
      <c r="B29" s="3" t="n"/>
      <c r="C29" s="3" t="n"/>
      <c r="D29" s="3" t="n"/>
      <c r="E29" s="4" t="n"/>
      <c r="F29" s="4" t="n"/>
      <c r="G29" s="4" t="n"/>
      <c r="H29" s="5" t="n"/>
      <c r="I29" s="6">
        <f>IF(OR(E29="",F29="",G29="",D29=""),"",IFERROR(IF(D29="Long",(G29-E29)/(E29-F29),(E29-G29)/(F29-E29)),""))</f>
        <v/>
      </c>
      <c r="J29" s="5">
        <f>IF(OR(I29="",H29=""),"",I29*H29)</f>
        <v/>
      </c>
      <c r="K29" s="2">
        <f>IF(OR(E29="",G29="",D29=""),"",IF(ROUND(IF(D29="Long",G29-E29,E29-G29),8)=0,"BE",IF(IF(D29="Long",G29-E29,E29-G29)&gt;0,"Zysk","Strata")))</f>
        <v/>
      </c>
      <c r="L29" s="7">
        <f>IF(COUNT($I$2:I29)=0,"",SUM($I$2:I29))</f>
        <v/>
      </c>
      <c r="M29" s="3" t="n"/>
      <c r="N29" s="3" t="n"/>
    </row>
    <row r="30">
      <c r="A30" s="2" t="n">
        <v>29</v>
      </c>
      <c r="B30" s="3" t="n"/>
      <c r="C30" s="3" t="n"/>
      <c r="D30" s="3" t="n"/>
      <c r="E30" s="4" t="n"/>
      <c r="F30" s="4" t="n"/>
      <c r="G30" s="4" t="n"/>
      <c r="H30" s="5" t="n"/>
      <c r="I30" s="6">
        <f>IF(OR(E30="",F30="",G30="",D30=""),"",IFERROR(IF(D30="Long",(G30-E30)/(E30-F30),(E30-G30)/(F30-E30)),""))</f>
        <v/>
      </c>
      <c r="J30" s="5">
        <f>IF(OR(I30="",H30=""),"",I30*H30)</f>
        <v/>
      </c>
      <c r="K30" s="2">
        <f>IF(OR(E30="",G30="",D30=""),"",IF(ROUND(IF(D30="Long",G30-E30,E30-G30),8)=0,"BE",IF(IF(D30="Long",G30-E30,E30-G30)&gt;0,"Zysk","Strata")))</f>
        <v/>
      </c>
      <c r="L30" s="7">
        <f>IF(COUNT($I$2:I30)=0,"",SUM($I$2:I30))</f>
        <v/>
      </c>
      <c r="M30" s="3" t="n"/>
      <c r="N30" s="3" t="n"/>
    </row>
    <row r="31">
      <c r="A31" s="2" t="n">
        <v>30</v>
      </c>
      <c r="B31" s="3" t="n"/>
      <c r="C31" s="3" t="n"/>
      <c r="D31" s="3" t="n"/>
      <c r="E31" s="4" t="n"/>
      <c r="F31" s="4" t="n"/>
      <c r="G31" s="4" t="n"/>
      <c r="H31" s="5" t="n"/>
      <c r="I31" s="6">
        <f>IF(OR(E31="",F31="",G31="",D31=""),"",IFERROR(IF(D31="Long",(G31-E31)/(E31-F31),(E31-G31)/(F31-E31)),""))</f>
        <v/>
      </c>
      <c r="J31" s="5">
        <f>IF(OR(I31="",H31=""),"",I31*H31)</f>
        <v/>
      </c>
      <c r="K31" s="2">
        <f>IF(OR(E31="",G31="",D31=""),"",IF(ROUND(IF(D31="Long",G31-E31,E31-G31),8)=0,"BE",IF(IF(D31="Long",G31-E31,E31-G31)&gt;0,"Zysk","Strata")))</f>
        <v/>
      </c>
      <c r="L31" s="7">
        <f>IF(COUNT($I$2:I31)=0,"",SUM($I$2:I31))</f>
        <v/>
      </c>
      <c r="M31" s="3" t="n"/>
      <c r="N31" s="3" t="n"/>
    </row>
    <row r="32">
      <c r="A32" s="2" t="n">
        <v>31</v>
      </c>
      <c r="B32" s="3" t="n"/>
      <c r="C32" s="3" t="n"/>
      <c r="D32" s="3" t="n"/>
      <c r="E32" s="4" t="n"/>
      <c r="F32" s="4" t="n"/>
      <c r="G32" s="4" t="n"/>
      <c r="H32" s="5" t="n"/>
      <c r="I32" s="6">
        <f>IF(OR(E32="",F32="",G32="",D32=""),"",IFERROR(IF(D32="Long",(G32-E32)/(E32-F32),(E32-G32)/(F32-E32)),""))</f>
        <v/>
      </c>
      <c r="J32" s="5">
        <f>IF(OR(I32="",H32=""),"",I32*H32)</f>
        <v/>
      </c>
      <c r="K32" s="2">
        <f>IF(OR(E32="",G32="",D32=""),"",IF(ROUND(IF(D32="Long",G32-E32,E32-G32),8)=0,"BE",IF(IF(D32="Long",G32-E32,E32-G32)&gt;0,"Zysk","Strata")))</f>
        <v/>
      </c>
      <c r="L32" s="7">
        <f>IF(COUNT($I$2:I32)=0,"",SUM($I$2:I32))</f>
        <v/>
      </c>
      <c r="M32" s="3" t="n"/>
      <c r="N32" s="3" t="n"/>
    </row>
    <row r="33">
      <c r="A33" s="2" t="n">
        <v>32</v>
      </c>
      <c r="B33" s="3" t="n"/>
      <c r="C33" s="3" t="n"/>
      <c r="D33" s="3" t="n"/>
      <c r="E33" s="4" t="n"/>
      <c r="F33" s="4" t="n"/>
      <c r="G33" s="4" t="n"/>
      <c r="H33" s="5" t="n"/>
      <c r="I33" s="6">
        <f>IF(OR(E33="",F33="",G33="",D33=""),"",IFERROR(IF(D33="Long",(G33-E33)/(E33-F33),(E33-G33)/(F33-E33)),""))</f>
        <v/>
      </c>
      <c r="J33" s="5">
        <f>IF(OR(I33="",H33=""),"",I33*H33)</f>
        <v/>
      </c>
      <c r="K33" s="2">
        <f>IF(OR(E33="",G33="",D33=""),"",IF(ROUND(IF(D33="Long",G33-E33,E33-G33),8)=0,"BE",IF(IF(D33="Long",G33-E33,E33-G33)&gt;0,"Zysk","Strata")))</f>
        <v/>
      </c>
      <c r="L33" s="7">
        <f>IF(COUNT($I$2:I33)=0,"",SUM($I$2:I33))</f>
        <v/>
      </c>
      <c r="M33" s="3" t="n"/>
      <c r="N33" s="3" t="n"/>
    </row>
    <row r="34">
      <c r="A34" s="2" t="n">
        <v>33</v>
      </c>
      <c r="B34" s="3" t="n"/>
      <c r="C34" s="3" t="n"/>
      <c r="D34" s="3" t="n"/>
      <c r="E34" s="4" t="n"/>
      <c r="F34" s="4" t="n"/>
      <c r="G34" s="4" t="n"/>
      <c r="H34" s="5" t="n"/>
      <c r="I34" s="6">
        <f>IF(OR(E34="",F34="",G34="",D34=""),"",IFERROR(IF(D34="Long",(G34-E34)/(E34-F34),(E34-G34)/(F34-E34)),""))</f>
        <v/>
      </c>
      <c r="J34" s="5">
        <f>IF(OR(I34="",H34=""),"",I34*H34)</f>
        <v/>
      </c>
      <c r="K34" s="2">
        <f>IF(OR(E34="",G34="",D34=""),"",IF(ROUND(IF(D34="Long",G34-E34,E34-G34),8)=0,"BE",IF(IF(D34="Long",G34-E34,E34-G34)&gt;0,"Zysk","Strata")))</f>
        <v/>
      </c>
      <c r="L34" s="7">
        <f>IF(COUNT($I$2:I34)=0,"",SUM($I$2:I34))</f>
        <v/>
      </c>
      <c r="M34" s="3" t="n"/>
      <c r="N34" s="3" t="n"/>
    </row>
    <row r="35">
      <c r="A35" s="2" t="n">
        <v>34</v>
      </c>
      <c r="B35" s="3" t="n"/>
      <c r="C35" s="3" t="n"/>
      <c r="D35" s="3" t="n"/>
      <c r="E35" s="4" t="n"/>
      <c r="F35" s="4" t="n"/>
      <c r="G35" s="4" t="n"/>
      <c r="H35" s="5" t="n"/>
      <c r="I35" s="6">
        <f>IF(OR(E35="",F35="",G35="",D35=""),"",IFERROR(IF(D35="Long",(G35-E35)/(E35-F35),(E35-G35)/(F35-E35)),""))</f>
        <v/>
      </c>
      <c r="J35" s="5">
        <f>IF(OR(I35="",H35=""),"",I35*H35)</f>
        <v/>
      </c>
      <c r="K35" s="2">
        <f>IF(OR(E35="",G35="",D35=""),"",IF(ROUND(IF(D35="Long",G35-E35,E35-G35),8)=0,"BE",IF(IF(D35="Long",G35-E35,E35-G35)&gt;0,"Zysk","Strata")))</f>
        <v/>
      </c>
      <c r="L35" s="7">
        <f>IF(COUNT($I$2:I35)=0,"",SUM($I$2:I35))</f>
        <v/>
      </c>
      <c r="M35" s="3" t="n"/>
      <c r="N35" s="3" t="n"/>
    </row>
    <row r="36">
      <c r="A36" s="2" t="n">
        <v>35</v>
      </c>
      <c r="B36" s="3" t="n"/>
      <c r="C36" s="3" t="n"/>
      <c r="D36" s="3" t="n"/>
      <c r="E36" s="4" t="n"/>
      <c r="F36" s="4" t="n"/>
      <c r="G36" s="4" t="n"/>
      <c r="H36" s="5" t="n"/>
      <c r="I36" s="6">
        <f>IF(OR(E36="",F36="",G36="",D36=""),"",IFERROR(IF(D36="Long",(G36-E36)/(E36-F36),(E36-G36)/(F36-E36)),""))</f>
        <v/>
      </c>
      <c r="J36" s="5">
        <f>IF(OR(I36="",H36=""),"",I36*H36)</f>
        <v/>
      </c>
      <c r="K36" s="2">
        <f>IF(OR(E36="",G36="",D36=""),"",IF(ROUND(IF(D36="Long",G36-E36,E36-G36),8)=0,"BE",IF(IF(D36="Long",G36-E36,E36-G36)&gt;0,"Zysk","Strata")))</f>
        <v/>
      </c>
      <c r="L36" s="7">
        <f>IF(COUNT($I$2:I36)=0,"",SUM($I$2:I36))</f>
        <v/>
      </c>
      <c r="M36" s="3" t="n"/>
      <c r="N36" s="3" t="n"/>
    </row>
    <row r="37">
      <c r="A37" s="2" t="n">
        <v>36</v>
      </c>
      <c r="B37" s="3" t="n"/>
      <c r="C37" s="3" t="n"/>
      <c r="D37" s="3" t="n"/>
      <c r="E37" s="4" t="n"/>
      <c r="F37" s="4" t="n"/>
      <c r="G37" s="4" t="n"/>
      <c r="H37" s="5" t="n"/>
      <c r="I37" s="6">
        <f>IF(OR(E37="",F37="",G37="",D37=""),"",IFERROR(IF(D37="Long",(G37-E37)/(E37-F37),(E37-G37)/(F37-E37)),""))</f>
        <v/>
      </c>
      <c r="J37" s="5">
        <f>IF(OR(I37="",H37=""),"",I37*H37)</f>
        <v/>
      </c>
      <c r="K37" s="2">
        <f>IF(OR(E37="",G37="",D37=""),"",IF(ROUND(IF(D37="Long",G37-E37,E37-G37),8)=0,"BE",IF(IF(D37="Long",G37-E37,E37-G37)&gt;0,"Zysk","Strata")))</f>
        <v/>
      </c>
      <c r="L37" s="7">
        <f>IF(COUNT($I$2:I37)=0,"",SUM($I$2:I37))</f>
        <v/>
      </c>
      <c r="M37" s="3" t="n"/>
      <c r="N37" s="3" t="n"/>
    </row>
    <row r="38">
      <c r="A38" s="2" t="n">
        <v>37</v>
      </c>
      <c r="B38" s="3" t="n"/>
      <c r="C38" s="3" t="n"/>
      <c r="D38" s="3" t="n"/>
      <c r="E38" s="4" t="n"/>
      <c r="F38" s="4" t="n"/>
      <c r="G38" s="4" t="n"/>
      <c r="H38" s="5" t="n"/>
      <c r="I38" s="6">
        <f>IF(OR(E38="",F38="",G38="",D38=""),"",IFERROR(IF(D38="Long",(G38-E38)/(E38-F38),(E38-G38)/(F38-E38)),""))</f>
        <v/>
      </c>
      <c r="J38" s="5">
        <f>IF(OR(I38="",H38=""),"",I38*H38)</f>
        <v/>
      </c>
      <c r="K38" s="2">
        <f>IF(OR(E38="",G38="",D38=""),"",IF(ROUND(IF(D38="Long",G38-E38,E38-G38),8)=0,"BE",IF(IF(D38="Long",G38-E38,E38-G38)&gt;0,"Zysk","Strata")))</f>
        <v/>
      </c>
      <c r="L38" s="7">
        <f>IF(COUNT($I$2:I38)=0,"",SUM($I$2:I38))</f>
        <v/>
      </c>
      <c r="M38" s="3" t="n"/>
      <c r="N38" s="3" t="n"/>
    </row>
    <row r="39">
      <c r="A39" s="2" t="n">
        <v>38</v>
      </c>
      <c r="B39" s="3" t="n"/>
      <c r="C39" s="3" t="n"/>
      <c r="D39" s="3" t="n"/>
      <c r="E39" s="4" t="n"/>
      <c r="F39" s="4" t="n"/>
      <c r="G39" s="4" t="n"/>
      <c r="H39" s="5" t="n"/>
      <c r="I39" s="6">
        <f>IF(OR(E39="",F39="",G39="",D39=""),"",IFERROR(IF(D39="Long",(G39-E39)/(E39-F39),(E39-G39)/(F39-E39)),""))</f>
        <v/>
      </c>
      <c r="J39" s="5">
        <f>IF(OR(I39="",H39=""),"",I39*H39)</f>
        <v/>
      </c>
      <c r="K39" s="2">
        <f>IF(OR(E39="",G39="",D39=""),"",IF(ROUND(IF(D39="Long",G39-E39,E39-G39),8)=0,"BE",IF(IF(D39="Long",G39-E39,E39-G39)&gt;0,"Zysk","Strata")))</f>
        <v/>
      </c>
      <c r="L39" s="7">
        <f>IF(COUNT($I$2:I39)=0,"",SUM($I$2:I39))</f>
        <v/>
      </c>
      <c r="M39" s="3" t="n"/>
      <c r="N39" s="3" t="n"/>
    </row>
    <row r="40">
      <c r="A40" s="2" t="n">
        <v>39</v>
      </c>
      <c r="B40" s="3" t="n"/>
      <c r="C40" s="3" t="n"/>
      <c r="D40" s="3" t="n"/>
      <c r="E40" s="4" t="n"/>
      <c r="F40" s="4" t="n"/>
      <c r="G40" s="4" t="n"/>
      <c r="H40" s="5" t="n"/>
      <c r="I40" s="6">
        <f>IF(OR(E40="",F40="",G40="",D40=""),"",IFERROR(IF(D40="Long",(G40-E40)/(E40-F40),(E40-G40)/(F40-E40)),""))</f>
        <v/>
      </c>
      <c r="J40" s="5">
        <f>IF(OR(I40="",H40=""),"",I40*H40)</f>
        <v/>
      </c>
      <c r="K40" s="2">
        <f>IF(OR(E40="",G40="",D40=""),"",IF(ROUND(IF(D40="Long",G40-E40,E40-G40),8)=0,"BE",IF(IF(D40="Long",G40-E40,E40-G40)&gt;0,"Zysk","Strata")))</f>
        <v/>
      </c>
      <c r="L40" s="7">
        <f>IF(COUNT($I$2:I40)=0,"",SUM($I$2:I40))</f>
        <v/>
      </c>
      <c r="M40" s="3" t="n"/>
      <c r="N40" s="3" t="n"/>
    </row>
    <row r="41">
      <c r="A41" s="2" t="n">
        <v>40</v>
      </c>
      <c r="B41" s="3" t="n"/>
      <c r="C41" s="3" t="n"/>
      <c r="D41" s="3" t="n"/>
      <c r="E41" s="4" t="n"/>
      <c r="F41" s="4" t="n"/>
      <c r="G41" s="4" t="n"/>
      <c r="H41" s="5" t="n"/>
      <c r="I41" s="6">
        <f>IF(OR(E41="",F41="",G41="",D41=""),"",IFERROR(IF(D41="Long",(G41-E41)/(E41-F41),(E41-G41)/(F41-E41)),""))</f>
        <v/>
      </c>
      <c r="J41" s="5">
        <f>IF(OR(I41="",H41=""),"",I41*H41)</f>
        <v/>
      </c>
      <c r="K41" s="2">
        <f>IF(OR(E41="",G41="",D41=""),"",IF(ROUND(IF(D41="Long",G41-E41,E41-G41),8)=0,"BE",IF(IF(D41="Long",G41-E41,E41-G41)&gt;0,"Zysk","Strata")))</f>
        <v/>
      </c>
      <c r="L41" s="7">
        <f>IF(COUNT($I$2:I41)=0,"",SUM($I$2:I41))</f>
        <v/>
      </c>
      <c r="M41" s="3" t="n"/>
      <c r="N41" s="3" t="n"/>
    </row>
    <row r="42">
      <c r="A42" s="2" t="n">
        <v>41</v>
      </c>
      <c r="B42" s="3" t="n"/>
      <c r="C42" s="3" t="n"/>
      <c r="D42" s="3" t="n"/>
      <c r="E42" s="4" t="n"/>
      <c r="F42" s="4" t="n"/>
      <c r="G42" s="4" t="n"/>
      <c r="H42" s="5" t="n"/>
      <c r="I42" s="6">
        <f>IF(OR(E42="",F42="",G42="",D42=""),"",IFERROR(IF(D42="Long",(G42-E42)/(E42-F42),(E42-G42)/(F42-E42)),""))</f>
        <v/>
      </c>
      <c r="J42" s="5">
        <f>IF(OR(I42="",H42=""),"",I42*H42)</f>
        <v/>
      </c>
      <c r="K42" s="2">
        <f>IF(OR(E42="",G42="",D42=""),"",IF(ROUND(IF(D42="Long",G42-E42,E42-G42),8)=0,"BE",IF(IF(D42="Long",G42-E42,E42-G42)&gt;0,"Zysk","Strata")))</f>
        <v/>
      </c>
      <c r="L42" s="7">
        <f>IF(COUNT($I$2:I42)=0,"",SUM($I$2:I42))</f>
        <v/>
      </c>
      <c r="M42" s="3" t="n"/>
      <c r="N42" s="3" t="n"/>
    </row>
    <row r="43">
      <c r="A43" s="2" t="n">
        <v>42</v>
      </c>
      <c r="B43" s="3" t="n"/>
      <c r="C43" s="3" t="n"/>
      <c r="D43" s="3" t="n"/>
      <c r="E43" s="4" t="n"/>
      <c r="F43" s="4" t="n"/>
      <c r="G43" s="4" t="n"/>
      <c r="H43" s="5" t="n"/>
      <c r="I43" s="6">
        <f>IF(OR(E43="",F43="",G43="",D43=""),"",IFERROR(IF(D43="Long",(G43-E43)/(E43-F43),(E43-G43)/(F43-E43)),""))</f>
        <v/>
      </c>
      <c r="J43" s="5">
        <f>IF(OR(I43="",H43=""),"",I43*H43)</f>
        <v/>
      </c>
      <c r="K43" s="2">
        <f>IF(OR(E43="",G43="",D43=""),"",IF(ROUND(IF(D43="Long",G43-E43,E43-G43),8)=0,"BE",IF(IF(D43="Long",G43-E43,E43-G43)&gt;0,"Zysk","Strata")))</f>
        <v/>
      </c>
      <c r="L43" s="7">
        <f>IF(COUNT($I$2:I43)=0,"",SUM($I$2:I43))</f>
        <v/>
      </c>
      <c r="M43" s="3" t="n"/>
      <c r="N43" s="3" t="n"/>
    </row>
    <row r="44">
      <c r="A44" s="2" t="n">
        <v>43</v>
      </c>
      <c r="B44" s="3" t="n"/>
      <c r="C44" s="3" t="n"/>
      <c r="D44" s="3" t="n"/>
      <c r="E44" s="4" t="n"/>
      <c r="F44" s="4" t="n"/>
      <c r="G44" s="4" t="n"/>
      <c r="H44" s="5" t="n"/>
      <c r="I44" s="6">
        <f>IF(OR(E44="",F44="",G44="",D44=""),"",IFERROR(IF(D44="Long",(G44-E44)/(E44-F44),(E44-G44)/(F44-E44)),""))</f>
        <v/>
      </c>
      <c r="J44" s="5">
        <f>IF(OR(I44="",H44=""),"",I44*H44)</f>
        <v/>
      </c>
      <c r="K44" s="2">
        <f>IF(OR(E44="",G44="",D44=""),"",IF(ROUND(IF(D44="Long",G44-E44,E44-G44),8)=0,"BE",IF(IF(D44="Long",G44-E44,E44-G44)&gt;0,"Zysk","Strata")))</f>
        <v/>
      </c>
      <c r="L44" s="7">
        <f>IF(COUNT($I$2:I44)=0,"",SUM($I$2:I44))</f>
        <v/>
      </c>
      <c r="M44" s="3" t="n"/>
      <c r="N44" s="3" t="n"/>
    </row>
    <row r="45">
      <c r="A45" s="2" t="n">
        <v>44</v>
      </c>
      <c r="B45" s="3" t="n"/>
      <c r="C45" s="3" t="n"/>
      <c r="D45" s="3" t="n"/>
      <c r="E45" s="4" t="n"/>
      <c r="F45" s="4" t="n"/>
      <c r="G45" s="4" t="n"/>
      <c r="H45" s="5" t="n"/>
      <c r="I45" s="6">
        <f>IF(OR(E45="",F45="",G45="",D45=""),"",IFERROR(IF(D45="Long",(G45-E45)/(E45-F45),(E45-G45)/(F45-E45)),""))</f>
        <v/>
      </c>
      <c r="J45" s="5">
        <f>IF(OR(I45="",H45=""),"",I45*H45)</f>
        <v/>
      </c>
      <c r="K45" s="2">
        <f>IF(OR(E45="",G45="",D45=""),"",IF(ROUND(IF(D45="Long",G45-E45,E45-G45),8)=0,"BE",IF(IF(D45="Long",G45-E45,E45-G45)&gt;0,"Zysk","Strata")))</f>
        <v/>
      </c>
      <c r="L45" s="7">
        <f>IF(COUNT($I$2:I45)=0,"",SUM($I$2:I45))</f>
        <v/>
      </c>
      <c r="M45" s="3" t="n"/>
      <c r="N45" s="3" t="n"/>
    </row>
    <row r="46">
      <c r="A46" s="2" t="n">
        <v>45</v>
      </c>
      <c r="B46" s="3" t="n"/>
      <c r="C46" s="3" t="n"/>
      <c r="D46" s="3" t="n"/>
      <c r="E46" s="4" t="n"/>
      <c r="F46" s="4" t="n"/>
      <c r="G46" s="4" t="n"/>
      <c r="H46" s="5" t="n"/>
      <c r="I46" s="6">
        <f>IF(OR(E46="",F46="",G46="",D46=""),"",IFERROR(IF(D46="Long",(G46-E46)/(E46-F46),(E46-G46)/(F46-E46)),""))</f>
        <v/>
      </c>
      <c r="J46" s="5">
        <f>IF(OR(I46="",H46=""),"",I46*H46)</f>
        <v/>
      </c>
      <c r="K46" s="2">
        <f>IF(OR(E46="",G46="",D46=""),"",IF(ROUND(IF(D46="Long",G46-E46,E46-G46),8)=0,"BE",IF(IF(D46="Long",G46-E46,E46-G46)&gt;0,"Zysk","Strata")))</f>
        <v/>
      </c>
      <c r="L46" s="7">
        <f>IF(COUNT($I$2:I46)=0,"",SUM($I$2:I46))</f>
        <v/>
      </c>
      <c r="M46" s="3" t="n"/>
      <c r="N46" s="3" t="n"/>
    </row>
    <row r="47">
      <c r="A47" s="2" t="n">
        <v>46</v>
      </c>
      <c r="B47" s="3" t="n"/>
      <c r="C47" s="3" t="n"/>
      <c r="D47" s="3" t="n"/>
      <c r="E47" s="4" t="n"/>
      <c r="F47" s="4" t="n"/>
      <c r="G47" s="4" t="n"/>
      <c r="H47" s="5" t="n"/>
      <c r="I47" s="6">
        <f>IF(OR(E47="",F47="",G47="",D47=""),"",IFERROR(IF(D47="Long",(G47-E47)/(E47-F47),(E47-G47)/(F47-E47)),""))</f>
        <v/>
      </c>
      <c r="J47" s="5">
        <f>IF(OR(I47="",H47=""),"",I47*H47)</f>
        <v/>
      </c>
      <c r="K47" s="2">
        <f>IF(OR(E47="",G47="",D47=""),"",IF(ROUND(IF(D47="Long",G47-E47,E47-G47),8)=0,"BE",IF(IF(D47="Long",G47-E47,E47-G47)&gt;0,"Zysk","Strata")))</f>
        <v/>
      </c>
      <c r="L47" s="7">
        <f>IF(COUNT($I$2:I47)=0,"",SUM($I$2:I47))</f>
        <v/>
      </c>
      <c r="M47" s="3" t="n"/>
      <c r="N47" s="3" t="n"/>
    </row>
    <row r="48">
      <c r="A48" s="2" t="n">
        <v>47</v>
      </c>
      <c r="B48" s="3" t="n"/>
      <c r="C48" s="3" t="n"/>
      <c r="D48" s="3" t="n"/>
      <c r="E48" s="4" t="n"/>
      <c r="F48" s="4" t="n"/>
      <c r="G48" s="4" t="n"/>
      <c r="H48" s="5" t="n"/>
      <c r="I48" s="6">
        <f>IF(OR(E48="",F48="",G48="",D48=""),"",IFERROR(IF(D48="Long",(G48-E48)/(E48-F48),(E48-G48)/(F48-E48)),""))</f>
        <v/>
      </c>
      <c r="J48" s="5">
        <f>IF(OR(I48="",H48=""),"",I48*H48)</f>
        <v/>
      </c>
      <c r="K48" s="2">
        <f>IF(OR(E48="",G48="",D48=""),"",IF(ROUND(IF(D48="Long",G48-E48,E48-G48),8)=0,"BE",IF(IF(D48="Long",G48-E48,E48-G48)&gt;0,"Zysk","Strata")))</f>
        <v/>
      </c>
      <c r="L48" s="7">
        <f>IF(COUNT($I$2:I48)=0,"",SUM($I$2:I48))</f>
        <v/>
      </c>
      <c r="M48" s="3" t="n"/>
      <c r="N48" s="3" t="n"/>
    </row>
    <row r="49">
      <c r="A49" s="2" t="n">
        <v>48</v>
      </c>
      <c r="B49" s="3" t="n"/>
      <c r="C49" s="3" t="n"/>
      <c r="D49" s="3" t="n"/>
      <c r="E49" s="4" t="n"/>
      <c r="F49" s="4" t="n"/>
      <c r="G49" s="4" t="n"/>
      <c r="H49" s="5" t="n"/>
      <c r="I49" s="6">
        <f>IF(OR(E49="",F49="",G49="",D49=""),"",IFERROR(IF(D49="Long",(G49-E49)/(E49-F49),(E49-G49)/(F49-E49)),""))</f>
        <v/>
      </c>
      <c r="J49" s="5">
        <f>IF(OR(I49="",H49=""),"",I49*H49)</f>
        <v/>
      </c>
      <c r="K49" s="2">
        <f>IF(OR(E49="",G49="",D49=""),"",IF(ROUND(IF(D49="Long",G49-E49,E49-G49),8)=0,"BE",IF(IF(D49="Long",G49-E49,E49-G49)&gt;0,"Zysk","Strata")))</f>
        <v/>
      </c>
      <c r="L49" s="7">
        <f>IF(COUNT($I$2:I49)=0,"",SUM($I$2:I49))</f>
        <v/>
      </c>
      <c r="M49" s="3" t="n"/>
      <c r="N49" s="3" t="n"/>
    </row>
    <row r="50">
      <c r="A50" s="2" t="n">
        <v>49</v>
      </c>
      <c r="B50" s="3" t="n"/>
      <c r="C50" s="3" t="n"/>
      <c r="D50" s="3" t="n"/>
      <c r="E50" s="4" t="n"/>
      <c r="F50" s="4" t="n"/>
      <c r="G50" s="4" t="n"/>
      <c r="H50" s="5" t="n"/>
      <c r="I50" s="6">
        <f>IF(OR(E50="",F50="",G50="",D50=""),"",IFERROR(IF(D50="Long",(G50-E50)/(E50-F50),(E50-G50)/(F50-E50)),""))</f>
        <v/>
      </c>
      <c r="J50" s="5">
        <f>IF(OR(I50="",H50=""),"",I50*H50)</f>
        <v/>
      </c>
      <c r="K50" s="2">
        <f>IF(OR(E50="",G50="",D50=""),"",IF(ROUND(IF(D50="Long",G50-E50,E50-G50),8)=0,"BE",IF(IF(D50="Long",G50-E50,E50-G50)&gt;0,"Zysk","Strata")))</f>
        <v/>
      </c>
      <c r="L50" s="7">
        <f>IF(COUNT($I$2:I50)=0,"",SUM($I$2:I50))</f>
        <v/>
      </c>
      <c r="M50" s="3" t="n"/>
      <c r="N50" s="3" t="n"/>
    </row>
    <row r="51">
      <c r="A51" s="2" t="n">
        <v>50</v>
      </c>
      <c r="B51" s="3" t="n"/>
      <c r="C51" s="3" t="n"/>
      <c r="D51" s="3" t="n"/>
      <c r="E51" s="4" t="n"/>
      <c r="F51" s="4" t="n"/>
      <c r="G51" s="4" t="n"/>
      <c r="H51" s="5" t="n"/>
      <c r="I51" s="6">
        <f>IF(OR(E51="",F51="",G51="",D51=""),"",IFERROR(IF(D51="Long",(G51-E51)/(E51-F51),(E51-G51)/(F51-E51)),""))</f>
        <v/>
      </c>
      <c r="J51" s="5">
        <f>IF(OR(I51="",H51=""),"",I51*H51)</f>
        <v/>
      </c>
      <c r="K51" s="2">
        <f>IF(OR(E51="",G51="",D51=""),"",IF(ROUND(IF(D51="Long",G51-E51,E51-G51),8)=0,"BE",IF(IF(D51="Long",G51-E51,E51-G51)&gt;0,"Zysk","Strata")))</f>
        <v/>
      </c>
      <c r="L51" s="7">
        <f>IF(COUNT($I$2:I51)=0,"",SUM($I$2:I51))</f>
        <v/>
      </c>
      <c r="M51" s="3" t="n"/>
      <c r="N51" s="3" t="n"/>
    </row>
    <row r="52">
      <c r="A52" s="2" t="n">
        <v>51</v>
      </c>
      <c r="B52" s="3" t="n"/>
      <c r="C52" s="3" t="n"/>
      <c r="D52" s="3" t="n"/>
      <c r="E52" s="4" t="n"/>
      <c r="F52" s="4" t="n"/>
      <c r="G52" s="4" t="n"/>
      <c r="H52" s="5" t="n"/>
      <c r="I52" s="6">
        <f>IF(OR(E52="",F52="",G52="",D52=""),"",IFERROR(IF(D52="Long",(G52-E52)/(E52-F52),(E52-G52)/(F52-E52)),""))</f>
        <v/>
      </c>
      <c r="J52" s="5">
        <f>IF(OR(I52="",H52=""),"",I52*H52)</f>
        <v/>
      </c>
      <c r="K52" s="2">
        <f>IF(OR(E52="",G52="",D52=""),"",IF(ROUND(IF(D52="Long",G52-E52,E52-G52),8)=0,"BE",IF(IF(D52="Long",G52-E52,E52-G52)&gt;0,"Zysk","Strata")))</f>
        <v/>
      </c>
      <c r="L52" s="7">
        <f>IF(COUNT($I$2:I52)=0,"",SUM($I$2:I52))</f>
        <v/>
      </c>
      <c r="M52" s="3" t="n"/>
      <c r="N52" s="3" t="n"/>
    </row>
    <row r="53">
      <c r="A53" s="2" t="n">
        <v>52</v>
      </c>
      <c r="B53" s="3" t="n"/>
      <c r="C53" s="3" t="n"/>
      <c r="D53" s="3" t="n"/>
      <c r="E53" s="4" t="n"/>
      <c r="F53" s="4" t="n"/>
      <c r="G53" s="4" t="n"/>
      <c r="H53" s="5" t="n"/>
      <c r="I53" s="6">
        <f>IF(OR(E53="",F53="",G53="",D53=""),"",IFERROR(IF(D53="Long",(G53-E53)/(E53-F53),(E53-G53)/(F53-E53)),""))</f>
        <v/>
      </c>
      <c r="J53" s="5">
        <f>IF(OR(I53="",H53=""),"",I53*H53)</f>
        <v/>
      </c>
      <c r="K53" s="2">
        <f>IF(OR(E53="",G53="",D53=""),"",IF(ROUND(IF(D53="Long",G53-E53,E53-G53),8)=0,"BE",IF(IF(D53="Long",G53-E53,E53-G53)&gt;0,"Zysk","Strata")))</f>
        <v/>
      </c>
      <c r="L53" s="7">
        <f>IF(COUNT($I$2:I53)=0,"",SUM($I$2:I53))</f>
        <v/>
      </c>
      <c r="M53" s="3" t="n"/>
      <c r="N53" s="3" t="n"/>
    </row>
    <row r="54">
      <c r="A54" s="2" t="n">
        <v>53</v>
      </c>
      <c r="B54" s="3" t="n"/>
      <c r="C54" s="3" t="n"/>
      <c r="D54" s="3" t="n"/>
      <c r="E54" s="4" t="n"/>
      <c r="F54" s="4" t="n"/>
      <c r="G54" s="4" t="n"/>
      <c r="H54" s="5" t="n"/>
      <c r="I54" s="6">
        <f>IF(OR(E54="",F54="",G54="",D54=""),"",IFERROR(IF(D54="Long",(G54-E54)/(E54-F54),(E54-G54)/(F54-E54)),""))</f>
        <v/>
      </c>
      <c r="J54" s="5">
        <f>IF(OR(I54="",H54=""),"",I54*H54)</f>
        <v/>
      </c>
      <c r="K54" s="2">
        <f>IF(OR(E54="",G54="",D54=""),"",IF(ROUND(IF(D54="Long",G54-E54,E54-G54),8)=0,"BE",IF(IF(D54="Long",G54-E54,E54-G54)&gt;0,"Zysk","Strata")))</f>
        <v/>
      </c>
      <c r="L54" s="7">
        <f>IF(COUNT($I$2:I54)=0,"",SUM($I$2:I54))</f>
        <v/>
      </c>
      <c r="M54" s="3" t="n"/>
      <c r="N54" s="3" t="n"/>
    </row>
    <row r="55">
      <c r="A55" s="2" t="n">
        <v>54</v>
      </c>
      <c r="B55" s="3" t="n"/>
      <c r="C55" s="3" t="n"/>
      <c r="D55" s="3" t="n"/>
      <c r="E55" s="4" t="n"/>
      <c r="F55" s="4" t="n"/>
      <c r="G55" s="4" t="n"/>
      <c r="H55" s="5" t="n"/>
      <c r="I55" s="6">
        <f>IF(OR(E55="",F55="",G55="",D55=""),"",IFERROR(IF(D55="Long",(G55-E55)/(E55-F55),(E55-G55)/(F55-E55)),""))</f>
        <v/>
      </c>
      <c r="J55" s="5">
        <f>IF(OR(I55="",H55=""),"",I55*H55)</f>
        <v/>
      </c>
      <c r="K55" s="2">
        <f>IF(OR(E55="",G55="",D55=""),"",IF(ROUND(IF(D55="Long",G55-E55,E55-G55),8)=0,"BE",IF(IF(D55="Long",G55-E55,E55-G55)&gt;0,"Zysk","Strata")))</f>
        <v/>
      </c>
      <c r="L55" s="7">
        <f>IF(COUNT($I$2:I55)=0,"",SUM($I$2:I55))</f>
        <v/>
      </c>
      <c r="M55" s="3" t="n"/>
      <c r="N55" s="3" t="n"/>
    </row>
    <row r="56">
      <c r="A56" s="2" t="n">
        <v>55</v>
      </c>
      <c r="B56" s="3" t="n"/>
      <c r="C56" s="3" t="n"/>
      <c r="D56" s="3" t="n"/>
      <c r="E56" s="4" t="n"/>
      <c r="F56" s="4" t="n"/>
      <c r="G56" s="4" t="n"/>
      <c r="H56" s="5" t="n"/>
      <c r="I56" s="6">
        <f>IF(OR(E56="",F56="",G56="",D56=""),"",IFERROR(IF(D56="Long",(G56-E56)/(E56-F56),(E56-G56)/(F56-E56)),""))</f>
        <v/>
      </c>
      <c r="J56" s="5">
        <f>IF(OR(I56="",H56=""),"",I56*H56)</f>
        <v/>
      </c>
      <c r="K56" s="2">
        <f>IF(OR(E56="",G56="",D56=""),"",IF(ROUND(IF(D56="Long",G56-E56,E56-G56),8)=0,"BE",IF(IF(D56="Long",G56-E56,E56-G56)&gt;0,"Zysk","Strata")))</f>
        <v/>
      </c>
      <c r="L56" s="7">
        <f>IF(COUNT($I$2:I56)=0,"",SUM($I$2:I56))</f>
        <v/>
      </c>
      <c r="M56" s="3" t="n"/>
      <c r="N56" s="3" t="n"/>
    </row>
    <row r="57">
      <c r="A57" s="2" t="n">
        <v>56</v>
      </c>
      <c r="B57" s="3" t="n"/>
      <c r="C57" s="3" t="n"/>
      <c r="D57" s="3" t="n"/>
      <c r="E57" s="4" t="n"/>
      <c r="F57" s="4" t="n"/>
      <c r="G57" s="4" t="n"/>
      <c r="H57" s="5" t="n"/>
      <c r="I57" s="6">
        <f>IF(OR(E57="",F57="",G57="",D57=""),"",IFERROR(IF(D57="Long",(G57-E57)/(E57-F57),(E57-G57)/(F57-E57)),""))</f>
        <v/>
      </c>
      <c r="J57" s="5">
        <f>IF(OR(I57="",H57=""),"",I57*H57)</f>
        <v/>
      </c>
      <c r="K57" s="2">
        <f>IF(OR(E57="",G57="",D57=""),"",IF(ROUND(IF(D57="Long",G57-E57,E57-G57),8)=0,"BE",IF(IF(D57="Long",G57-E57,E57-G57)&gt;0,"Zysk","Strata")))</f>
        <v/>
      </c>
      <c r="L57" s="7">
        <f>IF(COUNT($I$2:I57)=0,"",SUM($I$2:I57))</f>
        <v/>
      </c>
      <c r="M57" s="3" t="n"/>
      <c r="N57" s="3" t="n"/>
    </row>
    <row r="58">
      <c r="A58" s="2" t="n">
        <v>57</v>
      </c>
      <c r="B58" s="3" t="n"/>
      <c r="C58" s="3" t="n"/>
      <c r="D58" s="3" t="n"/>
      <c r="E58" s="4" t="n"/>
      <c r="F58" s="4" t="n"/>
      <c r="G58" s="4" t="n"/>
      <c r="H58" s="5" t="n"/>
      <c r="I58" s="6">
        <f>IF(OR(E58="",F58="",G58="",D58=""),"",IFERROR(IF(D58="Long",(G58-E58)/(E58-F58),(E58-G58)/(F58-E58)),""))</f>
        <v/>
      </c>
      <c r="J58" s="5">
        <f>IF(OR(I58="",H58=""),"",I58*H58)</f>
        <v/>
      </c>
      <c r="K58" s="2">
        <f>IF(OR(E58="",G58="",D58=""),"",IF(ROUND(IF(D58="Long",G58-E58,E58-G58),8)=0,"BE",IF(IF(D58="Long",G58-E58,E58-G58)&gt;0,"Zysk","Strata")))</f>
        <v/>
      </c>
      <c r="L58" s="7">
        <f>IF(COUNT($I$2:I58)=0,"",SUM($I$2:I58))</f>
        <v/>
      </c>
      <c r="M58" s="3" t="n"/>
      <c r="N58" s="3" t="n"/>
    </row>
    <row r="59">
      <c r="A59" s="2" t="n">
        <v>58</v>
      </c>
      <c r="B59" s="3" t="n"/>
      <c r="C59" s="3" t="n"/>
      <c r="D59" s="3" t="n"/>
      <c r="E59" s="4" t="n"/>
      <c r="F59" s="4" t="n"/>
      <c r="G59" s="4" t="n"/>
      <c r="H59" s="5" t="n"/>
      <c r="I59" s="6">
        <f>IF(OR(E59="",F59="",G59="",D59=""),"",IFERROR(IF(D59="Long",(G59-E59)/(E59-F59),(E59-G59)/(F59-E59)),""))</f>
        <v/>
      </c>
      <c r="J59" s="5">
        <f>IF(OR(I59="",H59=""),"",I59*H59)</f>
        <v/>
      </c>
      <c r="K59" s="2">
        <f>IF(OR(E59="",G59="",D59=""),"",IF(ROUND(IF(D59="Long",G59-E59,E59-G59),8)=0,"BE",IF(IF(D59="Long",G59-E59,E59-G59)&gt;0,"Zysk","Strata")))</f>
        <v/>
      </c>
      <c r="L59" s="7">
        <f>IF(COUNT($I$2:I59)=0,"",SUM($I$2:I59))</f>
        <v/>
      </c>
      <c r="M59" s="3" t="n"/>
      <c r="N59" s="3" t="n"/>
    </row>
    <row r="60">
      <c r="A60" s="2" t="n">
        <v>59</v>
      </c>
      <c r="B60" s="3" t="n"/>
      <c r="C60" s="3" t="n"/>
      <c r="D60" s="3" t="n"/>
      <c r="E60" s="4" t="n"/>
      <c r="F60" s="4" t="n"/>
      <c r="G60" s="4" t="n"/>
      <c r="H60" s="5" t="n"/>
      <c r="I60" s="6">
        <f>IF(OR(E60="",F60="",G60="",D60=""),"",IFERROR(IF(D60="Long",(G60-E60)/(E60-F60),(E60-G60)/(F60-E60)),""))</f>
        <v/>
      </c>
      <c r="J60" s="5">
        <f>IF(OR(I60="",H60=""),"",I60*H60)</f>
        <v/>
      </c>
      <c r="K60" s="2">
        <f>IF(OR(E60="",G60="",D60=""),"",IF(ROUND(IF(D60="Long",G60-E60,E60-G60),8)=0,"BE",IF(IF(D60="Long",G60-E60,E60-G60)&gt;0,"Zysk","Strata")))</f>
        <v/>
      </c>
      <c r="L60" s="7">
        <f>IF(COUNT($I$2:I60)=0,"",SUM($I$2:I60))</f>
        <v/>
      </c>
      <c r="M60" s="3" t="n"/>
      <c r="N60" s="3" t="n"/>
    </row>
    <row r="61">
      <c r="A61" s="2" t="n">
        <v>60</v>
      </c>
      <c r="B61" s="3" t="n"/>
      <c r="C61" s="3" t="n"/>
      <c r="D61" s="3" t="n"/>
      <c r="E61" s="4" t="n"/>
      <c r="F61" s="4" t="n"/>
      <c r="G61" s="4" t="n"/>
      <c r="H61" s="5" t="n"/>
      <c r="I61" s="6">
        <f>IF(OR(E61="",F61="",G61="",D61=""),"",IFERROR(IF(D61="Long",(G61-E61)/(E61-F61),(E61-G61)/(F61-E61)),""))</f>
        <v/>
      </c>
      <c r="J61" s="5">
        <f>IF(OR(I61="",H61=""),"",I61*H61)</f>
        <v/>
      </c>
      <c r="K61" s="2">
        <f>IF(OR(E61="",G61="",D61=""),"",IF(ROUND(IF(D61="Long",G61-E61,E61-G61),8)=0,"BE",IF(IF(D61="Long",G61-E61,E61-G61)&gt;0,"Zysk","Strata")))</f>
        <v/>
      </c>
      <c r="L61" s="7">
        <f>IF(COUNT($I$2:I61)=0,"",SUM($I$2:I61))</f>
        <v/>
      </c>
      <c r="M61" s="3" t="n"/>
      <c r="N61" s="3" t="n"/>
    </row>
    <row r="62">
      <c r="A62" s="2" t="n">
        <v>61</v>
      </c>
      <c r="B62" s="3" t="n"/>
      <c r="C62" s="3" t="n"/>
      <c r="D62" s="3" t="n"/>
      <c r="E62" s="4" t="n"/>
      <c r="F62" s="4" t="n"/>
      <c r="G62" s="4" t="n"/>
      <c r="H62" s="5" t="n"/>
      <c r="I62" s="6">
        <f>IF(OR(E62="",F62="",G62="",D62=""),"",IFERROR(IF(D62="Long",(G62-E62)/(E62-F62),(E62-G62)/(F62-E62)),""))</f>
        <v/>
      </c>
      <c r="J62" s="5">
        <f>IF(OR(I62="",H62=""),"",I62*H62)</f>
        <v/>
      </c>
      <c r="K62" s="2">
        <f>IF(OR(E62="",G62="",D62=""),"",IF(ROUND(IF(D62="Long",G62-E62,E62-G62),8)=0,"BE",IF(IF(D62="Long",G62-E62,E62-G62)&gt;0,"Zysk","Strata")))</f>
        <v/>
      </c>
      <c r="L62" s="7">
        <f>IF(COUNT($I$2:I62)=0,"",SUM($I$2:I62))</f>
        <v/>
      </c>
      <c r="M62" s="3" t="n"/>
      <c r="N62" s="3" t="n"/>
    </row>
    <row r="63">
      <c r="A63" s="2" t="n">
        <v>62</v>
      </c>
      <c r="B63" s="3" t="n"/>
      <c r="C63" s="3" t="n"/>
      <c r="D63" s="3" t="n"/>
      <c r="E63" s="4" t="n"/>
      <c r="F63" s="4" t="n"/>
      <c r="G63" s="4" t="n"/>
      <c r="H63" s="5" t="n"/>
      <c r="I63" s="6">
        <f>IF(OR(E63="",F63="",G63="",D63=""),"",IFERROR(IF(D63="Long",(G63-E63)/(E63-F63),(E63-G63)/(F63-E63)),""))</f>
        <v/>
      </c>
      <c r="J63" s="5">
        <f>IF(OR(I63="",H63=""),"",I63*H63)</f>
        <v/>
      </c>
      <c r="K63" s="2">
        <f>IF(OR(E63="",G63="",D63=""),"",IF(ROUND(IF(D63="Long",G63-E63,E63-G63),8)=0,"BE",IF(IF(D63="Long",G63-E63,E63-G63)&gt;0,"Zysk","Strata")))</f>
        <v/>
      </c>
      <c r="L63" s="7">
        <f>IF(COUNT($I$2:I63)=0,"",SUM($I$2:I63))</f>
        <v/>
      </c>
      <c r="M63" s="3" t="n"/>
      <c r="N63" s="3" t="n"/>
    </row>
    <row r="64">
      <c r="A64" s="2" t="n">
        <v>63</v>
      </c>
      <c r="B64" s="3" t="n"/>
      <c r="C64" s="3" t="n"/>
      <c r="D64" s="3" t="n"/>
      <c r="E64" s="4" t="n"/>
      <c r="F64" s="4" t="n"/>
      <c r="G64" s="4" t="n"/>
      <c r="H64" s="5" t="n"/>
      <c r="I64" s="6">
        <f>IF(OR(E64="",F64="",G64="",D64=""),"",IFERROR(IF(D64="Long",(G64-E64)/(E64-F64),(E64-G64)/(F64-E64)),""))</f>
        <v/>
      </c>
      <c r="J64" s="5">
        <f>IF(OR(I64="",H64=""),"",I64*H64)</f>
        <v/>
      </c>
      <c r="K64" s="2">
        <f>IF(OR(E64="",G64="",D64=""),"",IF(ROUND(IF(D64="Long",G64-E64,E64-G64),8)=0,"BE",IF(IF(D64="Long",G64-E64,E64-G64)&gt;0,"Zysk","Strata")))</f>
        <v/>
      </c>
      <c r="L64" s="7">
        <f>IF(COUNT($I$2:I64)=0,"",SUM($I$2:I64))</f>
        <v/>
      </c>
      <c r="M64" s="3" t="n"/>
      <c r="N64" s="3" t="n"/>
    </row>
    <row r="65">
      <c r="A65" s="2" t="n">
        <v>64</v>
      </c>
      <c r="B65" s="3" t="n"/>
      <c r="C65" s="3" t="n"/>
      <c r="D65" s="3" t="n"/>
      <c r="E65" s="4" t="n"/>
      <c r="F65" s="4" t="n"/>
      <c r="G65" s="4" t="n"/>
      <c r="H65" s="5" t="n"/>
      <c r="I65" s="6">
        <f>IF(OR(E65="",F65="",G65="",D65=""),"",IFERROR(IF(D65="Long",(G65-E65)/(E65-F65),(E65-G65)/(F65-E65)),""))</f>
        <v/>
      </c>
      <c r="J65" s="5">
        <f>IF(OR(I65="",H65=""),"",I65*H65)</f>
        <v/>
      </c>
      <c r="K65" s="2">
        <f>IF(OR(E65="",G65="",D65=""),"",IF(ROUND(IF(D65="Long",G65-E65,E65-G65),8)=0,"BE",IF(IF(D65="Long",G65-E65,E65-G65)&gt;0,"Zysk","Strata")))</f>
        <v/>
      </c>
      <c r="L65" s="7">
        <f>IF(COUNT($I$2:I65)=0,"",SUM($I$2:I65))</f>
        <v/>
      </c>
      <c r="M65" s="3" t="n"/>
      <c r="N65" s="3" t="n"/>
    </row>
    <row r="66">
      <c r="A66" s="2" t="n">
        <v>65</v>
      </c>
      <c r="B66" s="3" t="n"/>
      <c r="C66" s="3" t="n"/>
      <c r="D66" s="3" t="n"/>
      <c r="E66" s="4" t="n"/>
      <c r="F66" s="4" t="n"/>
      <c r="G66" s="4" t="n"/>
      <c r="H66" s="5" t="n"/>
      <c r="I66" s="6">
        <f>IF(OR(E66="",F66="",G66="",D66=""),"",IFERROR(IF(D66="Long",(G66-E66)/(E66-F66),(E66-G66)/(F66-E66)),""))</f>
        <v/>
      </c>
      <c r="J66" s="5">
        <f>IF(OR(I66="",H66=""),"",I66*H66)</f>
        <v/>
      </c>
      <c r="K66" s="2">
        <f>IF(OR(E66="",G66="",D66=""),"",IF(ROUND(IF(D66="Long",G66-E66,E66-G66),8)=0,"BE",IF(IF(D66="Long",G66-E66,E66-G66)&gt;0,"Zysk","Strata")))</f>
        <v/>
      </c>
      <c r="L66" s="7">
        <f>IF(COUNT($I$2:I66)=0,"",SUM($I$2:I66))</f>
        <v/>
      </c>
      <c r="M66" s="3" t="n"/>
      <c r="N66" s="3" t="n"/>
    </row>
    <row r="67">
      <c r="A67" s="2" t="n">
        <v>66</v>
      </c>
      <c r="B67" s="3" t="n"/>
      <c r="C67" s="3" t="n"/>
      <c r="D67" s="3" t="n"/>
      <c r="E67" s="4" t="n"/>
      <c r="F67" s="4" t="n"/>
      <c r="G67" s="4" t="n"/>
      <c r="H67" s="5" t="n"/>
      <c r="I67" s="6">
        <f>IF(OR(E67="",F67="",G67="",D67=""),"",IFERROR(IF(D67="Long",(G67-E67)/(E67-F67),(E67-G67)/(F67-E67)),""))</f>
        <v/>
      </c>
      <c r="J67" s="5">
        <f>IF(OR(I67="",H67=""),"",I67*H67)</f>
        <v/>
      </c>
      <c r="K67" s="2">
        <f>IF(OR(E67="",G67="",D67=""),"",IF(ROUND(IF(D67="Long",G67-E67,E67-G67),8)=0,"BE",IF(IF(D67="Long",G67-E67,E67-G67)&gt;0,"Zysk","Strata")))</f>
        <v/>
      </c>
      <c r="L67" s="7">
        <f>IF(COUNT($I$2:I67)=0,"",SUM($I$2:I67))</f>
        <v/>
      </c>
      <c r="M67" s="3" t="n"/>
      <c r="N67" s="3" t="n"/>
    </row>
    <row r="68">
      <c r="A68" s="2" t="n">
        <v>67</v>
      </c>
      <c r="B68" s="3" t="n"/>
      <c r="C68" s="3" t="n"/>
      <c r="D68" s="3" t="n"/>
      <c r="E68" s="4" t="n"/>
      <c r="F68" s="4" t="n"/>
      <c r="G68" s="4" t="n"/>
      <c r="H68" s="5" t="n"/>
      <c r="I68" s="6">
        <f>IF(OR(E68="",F68="",G68="",D68=""),"",IFERROR(IF(D68="Long",(G68-E68)/(E68-F68),(E68-G68)/(F68-E68)),""))</f>
        <v/>
      </c>
      <c r="J68" s="5">
        <f>IF(OR(I68="",H68=""),"",I68*H68)</f>
        <v/>
      </c>
      <c r="K68" s="2">
        <f>IF(OR(E68="",G68="",D68=""),"",IF(ROUND(IF(D68="Long",G68-E68,E68-G68),8)=0,"BE",IF(IF(D68="Long",G68-E68,E68-G68)&gt;0,"Zysk","Strata")))</f>
        <v/>
      </c>
      <c r="L68" s="7">
        <f>IF(COUNT($I$2:I68)=0,"",SUM($I$2:I68))</f>
        <v/>
      </c>
      <c r="M68" s="3" t="n"/>
      <c r="N68" s="3" t="n"/>
    </row>
    <row r="69">
      <c r="A69" s="2" t="n">
        <v>68</v>
      </c>
      <c r="B69" s="3" t="n"/>
      <c r="C69" s="3" t="n"/>
      <c r="D69" s="3" t="n"/>
      <c r="E69" s="4" t="n"/>
      <c r="F69" s="4" t="n"/>
      <c r="G69" s="4" t="n"/>
      <c r="H69" s="5" t="n"/>
      <c r="I69" s="6">
        <f>IF(OR(E69="",F69="",G69="",D69=""),"",IFERROR(IF(D69="Long",(G69-E69)/(E69-F69),(E69-G69)/(F69-E69)),""))</f>
        <v/>
      </c>
      <c r="J69" s="5">
        <f>IF(OR(I69="",H69=""),"",I69*H69)</f>
        <v/>
      </c>
      <c r="K69" s="2">
        <f>IF(OR(E69="",G69="",D69=""),"",IF(ROUND(IF(D69="Long",G69-E69,E69-G69),8)=0,"BE",IF(IF(D69="Long",G69-E69,E69-G69)&gt;0,"Zysk","Strata")))</f>
        <v/>
      </c>
      <c r="L69" s="7">
        <f>IF(COUNT($I$2:I69)=0,"",SUM($I$2:I69))</f>
        <v/>
      </c>
      <c r="M69" s="3" t="n"/>
      <c r="N69" s="3" t="n"/>
    </row>
    <row r="70">
      <c r="A70" s="2" t="n">
        <v>69</v>
      </c>
      <c r="B70" s="3" t="n"/>
      <c r="C70" s="3" t="n"/>
      <c r="D70" s="3" t="n"/>
      <c r="E70" s="4" t="n"/>
      <c r="F70" s="4" t="n"/>
      <c r="G70" s="4" t="n"/>
      <c r="H70" s="5" t="n"/>
      <c r="I70" s="6">
        <f>IF(OR(E70="",F70="",G70="",D70=""),"",IFERROR(IF(D70="Long",(G70-E70)/(E70-F70),(E70-G70)/(F70-E70)),""))</f>
        <v/>
      </c>
      <c r="J70" s="5">
        <f>IF(OR(I70="",H70=""),"",I70*H70)</f>
        <v/>
      </c>
      <c r="K70" s="2">
        <f>IF(OR(E70="",G70="",D70=""),"",IF(ROUND(IF(D70="Long",G70-E70,E70-G70),8)=0,"BE",IF(IF(D70="Long",G70-E70,E70-G70)&gt;0,"Zysk","Strata")))</f>
        <v/>
      </c>
      <c r="L70" s="7">
        <f>IF(COUNT($I$2:I70)=0,"",SUM($I$2:I70))</f>
        <v/>
      </c>
      <c r="M70" s="3" t="n"/>
      <c r="N70" s="3" t="n"/>
    </row>
    <row r="71">
      <c r="A71" s="2" t="n">
        <v>70</v>
      </c>
      <c r="B71" s="3" t="n"/>
      <c r="C71" s="3" t="n"/>
      <c r="D71" s="3" t="n"/>
      <c r="E71" s="4" t="n"/>
      <c r="F71" s="4" t="n"/>
      <c r="G71" s="4" t="n"/>
      <c r="H71" s="5" t="n"/>
      <c r="I71" s="6">
        <f>IF(OR(E71="",F71="",G71="",D71=""),"",IFERROR(IF(D71="Long",(G71-E71)/(E71-F71),(E71-G71)/(F71-E71)),""))</f>
        <v/>
      </c>
      <c r="J71" s="5">
        <f>IF(OR(I71="",H71=""),"",I71*H71)</f>
        <v/>
      </c>
      <c r="K71" s="2">
        <f>IF(OR(E71="",G71="",D71=""),"",IF(ROUND(IF(D71="Long",G71-E71,E71-G71),8)=0,"BE",IF(IF(D71="Long",G71-E71,E71-G71)&gt;0,"Zysk","Strata")))</f>
        <v/>
      </c>
      <c r="L71" s="7">
        <f>IF(COUNT($I$2:I71)=0,"",SUM($I$2:I71))</f>
        <v/>
      </c>
      <c r="M71" s="3" t="n"/>
      <c r="N71" s="3" t="n"/>
    </row>
    <row r="72">
      <c r="A72" s="2" t="n">
        <v>71</v>
      </c>
      <c r="B72" s="3" t="n"/>
      <c r="C72" s="3" t="n"/>
      <c r="D72" s="3" t="n"/>
      <c r="E72" s="4" t="n"/>
      <c r="F72" s="4" t="n"/>
      <c r="G72" s="4" t="n"/>
      <c r="H72" s="5" t="n"/>
      <c r="I72" s="6">
        <f>IF(OR(E72="",F72="",G72="",D72=""),"",IFERROR(IF(D72="Long",(G72-E72)/(E72-F72),(E72-G72)/(F72-E72)),""))</f>
        <v/>
      </c>
      <c r="J72" s="5">
        <f>IF(OR(I72="",H72=""),"",I72*H72)</f>
        <v/>
      </c>
      <c r="K72" s="2">
        <f>IF(OR(E72="",G72="",D72=""),"",IF(ROUND(IF(D72="Long",G72-E72,E72-G72),8)=0,"BE",IF(IF(D72="Long",G72-E72,E72-G72)&gt;0,"Zysk","Strata")))</f>
        <v/>
      </c>
      <c r="L72" s="7">
        <f>IF(COUNT($I$2:I72)=0,"",SUM($I$2:I72))</f>
        <v/>
      </c>
      <c r="M72" s="3" t="n"/>
      <c r="N72" s="3" t="n"/>
    </row>
    <row r="73">
      <c r="A73" s="2" t="n">
        <v>72</v>
      </c>
      <c r="B73" s="3" t="n"/>
      <c r="C73" s="3" t="n"/>
      <c r="D73" s="3" t="n"/>
      <c r="E73" s="4" t="n"/>
      <c r="F73" s="4" t="n"/>
      <c r="G73" s="4" t="n"/>
      <c r="H73" s="5" t="n"/>
      <c r="I73" s="6">
        <f>IF(OR(E73="",F73="",G73="",D73=""),"",IFERROR(IF(D73="Long",(G73-E73)/(E73-F73),(E73-G73)/(F73-E73)),""))</f>
        <v/>
      </c>
      <c r="J73" s="5">
        <f>IF(OR(I73="",H73=""),"",I73*H73)</f>
        <v/>
      </c>
      <c r="K73" s="2">
        <f>IF(OR(E73="",G73="",D73=""),"",IF(ROUND(IF(D73="Long",G73-E73,E73-G73),8)=0,"BE",IF(IF(D73="Long",G73-E73,E73-G73)&gt;0,"Zysk","Strata")))</f>
        <v/>
      </c>
      <c r="L73" s="7">
        <f>IF(COUNT($I$2:I73)=0,"",SUM($I$2:I73))</f>
        <v/>
      </c>
      <c r="M73" s="3" t="n"/>
      <c r="N73" s="3" t="n"/>
    </row>
    <row r="74">
      <c r="A74" s="2" t="n">
        <v>73</v>
      </c>
      <c r="B74" s="3" t="n"/>
      <c r="C74" s="3" t="n"/>
      <c r="D74" s="3" t="n"/>
      <c r="E74" s="4" t="n"/>
      <c r="F74" s="4" t="n"/>
      <c r="G74" s="4" t="n"/>
      <c r="H74" s="5" t="n"/>
      <c r="I74" s="6">
        <f>IF(OR(E74="",F74="",G74="",D74=""),"",IFERROR(IF(D74="Long",(G74-E74)/(E74-F74),(E74-G74)/(F74-E74)),""))</f>
        <v/>
      </c>
      <c r="J74" s="5">
        <f>IF(OR(I74="",H74=""),"",I74*H74)</f>
        <v/>
      </c>
      <c r="K74" s="2">
        <f>IF(OR(E74="",G74="",D74=""),"",IF(ROUND(IF(D74="Long",G74-E74,E74-G74),8)=0,"BE",IF(IF(D74="Long",G74-E74,E74-G74)&gt;0,"Zysk","Strata")))</f>
        <v/>
      </c>
      <c r="L74" s="7">
        <f>IF(COUNT($I$2:I74)=0,"",SUM($I$2:I74))</f>
        <v/>
      </c>
      <c r="M74" s="3" t="n"/>
      <c r="N74" s="3" t="n"/>
    </row>
    <row r="75">
      <c r="A75" s="2" t="n">
        <v>74</v>
      </c>
      <c r="B75" s="3" t="n"/>
      <c r="C75" s="3" t="n"/>
      <c r="D75" s="3" t="n"/>
      <c r="E75" s="4" t="n"/>
      <c r="F75" s="4" t="n"/>
      <c r="G75" s="4" t="n"/>
      <c r="H75" s="5" t="n"/>
      <c r="I75" s="6">
        <f>IF(OR(E75="",F75="",G75="",D75=""),"",IFERROR(IF(D75="Long",(G75-E75)/(E75-F75),(E75-G75)/(F75-E75)),""))</f>
        <v/>
      </c>
      <c r="J75" s="5">
        <f>IF(OR(I75="",H75=""),"",I75*H75)</f>
        <v/>
      </c>
      <c r="K75" s="2">
        <f>IF(OR(E75="",G75="",D75=""),"",IF(ROUND(IF(D75="Long",G75-E75,E75-G75),8)=0,"BE",IF(IF(D75="Long",G75-E75,E75-G75)&gt;0,"Zysk","Strata")))</f>
        <v/>
      </c>
      <c r="L75" s="7">
        <f>IF(COUNT($I$2:I75)=0,"",SUM($I$2:I75))</f>
        <v/>
      </c>
      <c r="M75" s="3" t="n"/>
      <c r="N75" s="3" t="n"/>
    </row>
    <row r="76">
      <c r="A76" s="2" t="n">
        <v>75</v>
      </c>
      <c r="B76" s="3" t="n"/>
      <c r="C76" s="3" t="n"/>
      <c r="D76" s="3" t="n"/>
      <c r="E76" s="4" t="n"/>
      <c r="F76" s="4" t="n"/>
      <c r="G76" s="4" t="n"/>
      <c r="H76" s="5" t="n"/>
      <c r="I76" s="6">
        <f>IF(OR(E76="",F76="",G76="",D76=""),"",IFERROR(IF(D76="Long",(G76-E76)/(E76-F76),(E76-G76)/(F76-E76)),""))</f>
        <v/>
      </c>
      <c r="J76" s="5">
        <f>IF(OR(I76="",H76=""),"",I76*H76)</f>
        <v/>
      </c>
      <c r="K76" s="2">
        <f>IF(OR(E76="",G76="",D76=""),"",IF(ROUND(IF(D76="Long",G76-E76,E76-G76),8)=0,"BE",IF(IF(D76="Long",G76-E76,E76-G76)&gt;0,"Zysk","Strata")))</f>
        <v/>
      </c>
      <c r="L76" s="7">
        <f>IF(COUNT($I$2:I76)=0,"",SUM($I$2:I76))</f>
        <v/>
      </c>
      <c r="M76" s="3" t="n"/>
      <c r="N76" s="3" t="n"/>
    </row>
    <row r="77">
      <c r="A77" s="2" t="n">
        <v>76</v>
      </c>
      <c r="B77" s="3" t="n"/>
      <c r="C77" s="3" t="n"/>
      <c r="D77" s="3" t="n"/>
      <c r="E77" s="4" t="n"/>
      <c r="F77" s="4" t="n"/>
      <c r="G77" s="4" t="n"/>
      <c r="H77" s="5" t="n"/>
      <c r="I77" s="6">
        <f>IF(OR(E77="",F77="",G77="",D77=""),"",IFERROR(IF(D77="Long",(G77-E77)/(E77-F77),(E77-G77)/(F77-E77)),""))</f>
        <v/>
      </c>
      <c r="J77" s="5">
        <f>IF(OR(I77="",H77=""),"",I77*H77)</f>
        <v/>
      </c>
      <c r="K77" s="2">
        <f>IF(OR(E77="",G77="",D77=""),"",IF(ROUND(IF(D77="Long",G77-E77,E77-G77),8)=0,"BE",IF(IF(D77="Long",G77-E77,E77-G77)&gt;0,"Zysk","Strata")))</f>
        <v/>
      </c>
      <c r="L77" s="7">
        <f>IF(COUNT($I$2:I77)=0,"",SUM($I$2:I77))</f>
        <v/>
      </c>
      <c r="M77" s="3" t="n"/>
      <c r="N77" s="3" t="n"/>
    </row>
    <row r="78">
      <c r="A78" s="2" t="n">
        <v>77</v>
      </c>
      <c r="B78" s="3" t="n"/>
      <c r="C78" s="3" t="n"/>
      <c r="D78" s="3" t="n"/>
      <c r="E78" s="4" t="n"/>
      <c r="F78" s="4" t="n"/>
      <c r="G78" s="4" t="n"/>
      <c r="H78" s="5" t="n"/>
      <c r="I78" s="6">
        <f>IF(OR(E78="",F78="",G78="",D78=""),"",IFERROR(IF(D78="Long",(G78-E78)/(E78-F78),(E78-G78)/(F78-E78)),""))</f>
        <v/>
      </c>
      <c r="J78" s="5">
        <f>IF(OR(I78="",H78=""),"",I78*H78)</f>
        <v/>
      </c>
      <c r="K78" s="2">
        <f>IF(OR(E78="",G78="",D78=""),"",IF(ROUND(IF(D78="Long",G78-E78,E78-G78),8)=0,"BE",IF(IF(D78="Long",G78-E78,E78-G78)&gt;0,"Zysk","Strata")))</f>
        <v/>
      </c>
      <c r="L78" s="7">
        <f>IF(COUNT($I$2:I78)=0,"",SUM($I$2:I78))</f>
        <v/>
      </c>
      <c r="M78" s="3" t="n"/>
      <c r="N78" s="3" t="n"/>
    </row>
    <row r="79">
      <c r="A79" s="2" t="n">
        <v>78</v>
      </c>
      <c r="B79" s="3" t="n"/>
      <c r="C79" s="3" t="n"/>
      <c r="D79" s="3" t="n"/>
      <c r="E79" s="4" t="n"/>
      <c r="F79" s="4" t="n"/>
      <c r="G79" s="4" t="n"/>
      <c r="H79" s="5" t="n"/>
      <c r="I79" s="6">
        <f>IF(OR(E79="",F79="",G79="",D79=""),"",IFERROR(IF(D79="Long",(G79-E79)/(E79-F79),(E79-G79)/(F79-E79)),""))</f>
        <v/>
      </c>
      <c r="J79" s="5">
        <f>IF(OR(I79="",H79=""),"",I79*H79)</f>
        <v/>
      </c>
      <c r="K79" s="2">
        <f>IF(OR(E79="",G79="",D79=""),"",IF(ROUND(IF(D79="Long",G79-E79,E79-G79),8)=0,"BE",IF(IF(D79="Long",G79-E79,E79-G79)&gt;0,"Zysk","Strata")))</f>
        <v/>
      </c>
      <c r="L79" s="7">
        <f>IF(COUNT($I$2:I79)=0,"",SUM($I$2:I79))</f>
        <v/>
      </c>
      <c r="M79" s="3" t="n"/>
      <c r="N79" s="3" t="n"/>
    </row>
    <row r="80">
      <c r="A80" s="2" t="n">
        <v>79</v>
      </c>
      <c r="B80" s="3" t="n"/>
      <c r="C80" s="3" t="n"/>
      <c r="D80" s="3" t="n"/>
      <c r="E80" s="4" t="n"/>
      <c r="F80" s="4" t="n"/>
      <c r="G80" s="4" t="n"/>
      <c r="H80" s="5" t="n"/>
      <c r="I80" s="6">
        <f>IF(OR(E80="",F80="",G80="",D80=""),"",IFERROR(IF(D80="Long",(G80-E80)/(E80-F80),(E80-G80)/(F80-E80)),""))</f>
        <v/>
      </c>
      <c r="J80" s="5">
        <f>IF(OR(I80="",H80=""),"",I80*H80)</f>
        <v/>
      </c>
      <c r="K80" s="2">
        <f>IF(OR(E80="",G80="",D80=""),"",IF(ROUND(IF(D80="Long",G80-E80,E80-G80),8)=0,"BE",IF(IF(D80="Long",G80-E80,E80-G80)&gt;0,"Zysk","Strata")))</f>
        <v/>
      </c>
      <c r="L80" s="7">
        <f>IF(COUNT($I$2:I80)=0,"",SUM($I$2:I80))</f>
        <v/>
      </c>
      <c r="M80" s="3" t="n"/>
      <c r="N80" s="3" t="n"/>
    </row>
    <row r="81">
      <c r="A81" s="2" t="n">
        <v>80</v>
      </c>
      <c r="B81" s="3" t="n"/>
      <c r="C81" s="3" t="n"/>
      <c r="D81" s="3" t="n"/>
      <c r="E81" s="4" t="n"/>
      <c r="F81" s="4" t="n"/>
      <c r="G81" s="4" t="n"/>
      <c r="H81" s="5" t="n"/>
      <c r="I81" s="6">
        <f>IF(OR(E81="",F81="",G81="",D81=""),"",IFERROR(IF(D81="Long",(G81-E81)/(E81-F81),(E81-G81)/(F81-E81)),""))</f>
        <v/>
      </c>
      <c r="J81" s="5">
        <f>IF(OR(I81="",H81=""),"",I81*H81)</f>
        <v/>
      </c>
      <c r="K81" s="2">
        <f>IF(OR(E81="",G81="",D81=""),"",IF(ROUND(IF(D81="Long",G81-E81,E81-G81),8)=0,"BE",IF(IF(D81="Long",G81-E81,E81-G81)&gt;0,"Zysk","Strata")))</f>
        <v/>
      </c>
      <c r="L81" s="7">
        <f>IF(COUNT($I$2:I81)=0,"",SUM($I$2:I81))</f>
        <v/>
      </c>
      <c r="M81" s="3" t="n"/>
      <c r="N81" s="3" t="n"/>
    </row>
    <row r="82">
      <c r="A82" s="2" t="n">
        <v>81</v>
      </c>
      <c r="B82" s="3" t="n"/>
      <c r="C82" s="3" t="n"/>
      <c r="D82" s="3" t="n"/>
      <c r="E82" s="4" t="n"/>
      <c r="F82" s="4" t="n"/>
      <c r="G82" s="4" t="n"/>
      <c r="H82" s="5" t="n"/>
      <c r="I82" s="6">
        <f>IF(OR(E82="",F82="",G82="",D82=""),"",IFERROR(IF(D82="Long",(G82-E82)/(E82-F82),(E82-G82)/(F82-E82)),""))</f>
        <v/>
      </c>
      <c r="J82" s="5">
        <f>IF(OR(I82="",H82=""),"",I82*H82)</f>
        <v/>
      </c>
      <c r="K82" s="2">
        <f>IF(OR(E82="",G82="",D82=""),"",IF(ROUND(IF(D82="Long",G82-E82,E82-G82),8)=0,"BE",IF(IF(D82="Long",G82-E82,E82-G82)&gt;0,"Zysk","Strata")))</f>
        <v/>
      </c>
      <c r="L82" s="7">
        <f>IF(COUNT($I$2:I82)=0,"",SUM($I$2:I82))</f>
        <v/>
      </c>
      <c r="M82" s="3" t="n"/>
      <c r="N82" s="3" t="n"/>
    </row>
    <row r="83">
      <c r="A83" s="2" t="n">
        <v>82</v>
      </c>
      <c r="B83" s="3" t="n"/>
      <c r="C83" s="3" t="n"/>
      <c r="D83" s="3" t="n"/>
      <c r="E83" s="4" t="n"/>
      <c r="F83" s="4" t="n"/>
      <c r="G83" s="4" t="n"/>
      <c r="H83" s="5" t="n"/>
      <c r="I83" s="6">
        <f>IF(OR(E83="",F83="",G83="",D83=""),"",IFERROR(IF(D83="Long",(G83-E83)/(E83-F83),(E83-G83)/(F83-E83)),""))</f>
        <v/>
      </c>
      <c r="J83" s="5">
        <f>IF(OR(I83="",H83=""),"",I83*H83)</f>
        <v/>
      </c>
      <c r="K83" s="2">
        <f>IF(OR(E83="",G83="",D83=""),"",IF(ROUND(IF(D83="Long",G83-E83,E83-G83),8)=0,"BE",IF(IF(D83="Long",G83-E83,E83-G83)&gt;0,"Zysk","Strata")))</f>
        <v/>
      </c>
      <c r="L83" s="7">
        <f>IF(COUNT($I$2:I83)=0,"",SUM($I$2:I83))</f>
        <v/>
      </c>
      <c r="M83" s="3" t="n"/>
      <c r="N83" s="3" t="n"/>
    </row>
    <row r="84">
      <c r="A84" s="2" t="n">
        <v>83</v>
      </c>
      <c r="B84" s="3" t="n"/>
      <c r="C84" s="3" t="n"/>
      <c r="D84" s="3" t="n"/>
      <c r="E84" s="4" t="n"/>
      <c r="F84" s="4" t="n"/>
      <c r="G84" s="4" t="n"/>
      <c r="H84" s="5" t="n"/>
      <c r="I84" s="6">
        <f>IF(OR(E84="",F84="",G84="",D84=""),"",IFERROR(IF(D84="Long",(G84-E84)/(E84-F84),(E84-G84)/(F84-E84)),""))</f>
        <v/>
      </c>
      <c r="J84" s="5">
        <f>IF(OR(I84="",H84=""),"",I84*H84)</f>
        <v/>
      </c>
      <c r="K84" s="2">
        <f>IF(OR(E84="",G84="",D84=""),"",IF(ROUND(IF(D84="Long",G84-E84,E84-G84),8)=0,"BE",IF(IF(D84="Long",G84-E84,E84-G84)&gt;0,"Zysk","Strata")))</f>
        <v/>
      </c>
      <c r="L84" s="7">
        <f>IF(COUNT($I$2:I84)=0,"",SUM($I$2:I84))</f>
        <v/>
      </c>
      <c r="M84" s="3" t="n"/>
      <c r="N84" s="3" t="n"/>
    </row>
    <row r="85">
      <c r="A85" s="2" t="n">
        <v>84</v>
      </c>
      <c r="B85" s="3" t="n"/>
      <c r="C85" s="3" t="n"/>
      <c r="D85" s="3" t="n"/>
      <c r="E85" s="4" t="n"/>
      <c r="F85" s="4" t="n"/>
      <c r="G85" s="4" t="n"/>
      <c r="H85" s="5" t="n"/>
      <c r="I85" s="6">
        <f>IF(OR(E85="",F85="",G85="",D85=""),"",IFERROR(IF(D85="Long",(G85-E85)/(E85-F85),(E85-G85)/(F85-E85)),""))</f>
        <v/>
      </c>
      <c r="J85" s="5">
        <f>IF(OR(I85="",H85=""),"",I85*H85)</f>
        <v/>
      </c>
      <c r="K85" s="2">
        <f>IF(OR(E85="",G85="",D85=""),"",IF(ROUND(IF(D85="Long",G85-E85,E85-G85),8)=0,"BE",IF(IF(D85="Long",G85-E85,E85-G85)&gt;0,"Zysk","Strata")))</f>
        <v/>
      </c>
      <c r="L85" s="7">
        <f>IF(COUNT($I$2:I85)=0,"",SUM($I$2:I85))</f>
        <v/>
      </c>
      <c r="M85" s="3" t="n"/>
      <c r="N85" s="3" t="n"/>
    </row>
    <row r="86">
      <c r="A86" s="2" t="n">
        <v>85</v>
      </c>
      <c r="B86" s="3" t="n"/>
      <c r="C86" s="3" t="n"/>
      <c r="D86" s="3" t="n"/>
      <c r="E86" s="4" t="n"/>
      <c r="F86" s="4" t="n"/>
      <c r="G86" s="4" t="n"/>
      <c r="H86" s="5" t="n"/>
      <c r="I86" s="6">
        <f>IF(OR(E86="",F86="",G86="",D86=""),"",IFERROR(IF(D86="Long",(G86-E86)/(E86-F86),(E86-G86)/(F86-E86)),""))</f>
        <v/>
      </c>
      <c r="J86" s="5">
        <f>IF(OR(I86="",H86=""),"",I86*H86)</f>
        <v/>
      </c>
      <c r="K86" s="2">
        <f>IF(OR(E86="",G86="",D86=""),"",IF(ROUND(IF(D86="Long",G86-E86,E86-G86),8)=0,"BE",IF(IF(D86="Long",G86-E86,E86-G86)&gt;0,"Zysk","Strata")))</f>
        <v/>
      </c>
      <c r="L86" s="7">
        <f>IF(COUNT($I$2:I86)=0,"",SUM($I$2:I86))</f>
        <v/>
      </c>
      <c r="M86" s="3" t="n"/>
      <c r="N86" s="3" t="n"/>
    </row>
    <row r="87">
      <c r="A87" s="2" t="n">
        <v>86</v>
      </c>
      <c r="B87" s="3" t="n"/>
      <c r="C87" s="3" t="n"/>
      <c r="D87" s="3" t="n"/>
      <c r="E87" s="4" t="n"/>
      <c r="F87" s="4" t="n"/>
      <c r="G87" s="4" t="n"/>
      <c r="H87" s="5" t="n"/>
      <c r="I87" s="6">
        <f>IF(OR(E87="",F87="",G87="",D87=""),"",IFERROR(IF(D87="Long",(G87-E87)/(E87-F87),(E87-G87)/(F87-E87)),""))</f>
        <v/>
      </c>
      <c r="J87" s="5">
        <f>IF(OR(I87="",H87=""),"",I87*H87)</f>
        <v/>
      </c>
      <c r="K87" s="2">
        <f>IF(OR(E87="",G87="",D87=""),"",IF(ROUND(IF(D87="Long",G87-E87,E87-G87),8)=0,"BE",IF(IF(D87="Long",G87-E87,E87-G87)&gt;0,"Zysk","Strata")))</f>
        <v/>
      </c>
      <c r="L87" s="7">
        <f>IF(COUNT($I$2:I87)=0,"",SUM($I$2:I87))</f>
        <v/>
      </c>
      <c r="M87" s="3" t="n"/>
      <c r="N87" s="3" t="n"/>
    </row>
    <row r="88">
      <c r="A88" s="2" t="n">
        <v>87</v>
      </c>
      <c r="B88" s="3" t="n"/>
      <c r="C88" s="3" t="n"/>
      <c r="D88" s="3" t="n"/>
      <c r="E88" s="4" t="n"/>
      <c r="F88" s="4" t="n"/>
      <c r="G88" s="4" t="n"/>
      <c r="H88" s="5" t="n"/>
      <c r="I88" s="6">
        <f>IF(OR(E88="",F88="",G88="",D88=""),"",IFERROR(IF(D88="Long",(G88-E88)/(E88-F88),(E88-G88)/(F88-E88)),""))</f>
        <v/>
      </c>
      <c r="J88" s="5">
        <f>IF(OR(I88="",H88=""),"",I88*H88)</f>
        <v/>
      </c>
      <c r="K88" s="2">
        <f>IF(OR(E88="",G88="",D88=""),"",IF(ROUND(IF(D88="Long",G88-E88,E88-G88),8)=0,"BE",IF(IF(D88="Long",G88-E88,E88-G88)&gt;0,"Zysk","Strata")))</f>
        <v/>
      </c>
      <c r="L88" s="7">
        <f>IF(COUNT($I$2:I88)=0,"",SUM($I$2:I88))</f>
        <v/>
      </c>
      <c r="M88" s="3" t="n"/>
      <c r="N88" s="3" t="n"/>
    </row>
    <row r="89">
      <c r="A89" s="2" t="n">
        <v>88</v>
      </c>
      <c r="B89" s="3" t="n"/>
      <c r="C89" s="3" t="n"/>
      <c r="D89" s="3" t="n"/>
      <c r="E89" s="4" t="n"/>
      <c r="F89" s="4" t="n"/>
      <c r="G89" s="4" t="n"/>
      <c r="H89" s="5" t="n"/>
      <c r="I89" s="6">
        <f>IF(OR(E89="",F89="",G89="",D89=""),"",IFERROR(IF(D89="Long",(G89-E89)/(E89-F89),(E89-G89)/(F89-E89)),""))</f>
        <v/>
      </c>
      <c r="J89" s="5">
        <f>IF(OR(I89="",H89=""),"",I89*H89)</f>
        <v/>
      </c>
      <c r="K89" s="2">
        <f>IF(OR(E89="",G89="",D89=""),"",IF(ROUND(IF(D89="Long",G89-E89,E89-G89),8)=0,"BE",IF(IF(D89="Long",G89-E89,E89-G89)&gt;0,"Zysk","Strata")))</f>
        <v/>
      </c>
      <c r="L89" s="7">
        <f>IF(COUNT($I$2:I89)=0,"",SUM($I$2:I89))</f>
        <v/>
      </c>
      <c r="M89" s="3" t="n"/>
      <c r="N89" s="3" t="n"/>
    </row>
    <row r="90">
      <c r="A90" s="2" t="n">
        <v>89</v>
      </c>
      <c r="B90" s="3" t="n"/>
      <c r="C90" s="3" t="n"/>
      <c r="D90" s="3" t="n"/>
      <c r="E90" s="4" t="n"/>
      <c r="F90" s="4" t="n"/>
      <c r="G90" s="4" t="n"/>
      <c r="H90" s="5" t="n"/>
      <c r="I90" s="6">
        <f>IF(OR(E90="",F90="",G90="",D90=""),"",IFERROR(IF(D90="Long",(G90-E90)/(E90-F90),(E90-G90)/(F90-E90)),""))</f>
        <v/>
      </c>
      <c r="J90" s="5">
        <f>IF(OR(I90="",H90=""),"",I90*H90)</f>
        <v/>
      </c>
      <c r="K90" s="2">
        <f>IF(OR(E90="",G90="",D90=""),"",IF(ROUND(IF(D90="Long",G90-E90,E90-G90),8)=0,"BE",IF(IF(D90="Long",G90-E90,E90-G90)&gt;0,"Zysk","Strata")))</f>
        <v/>
      </c>
      <c r="L90" s="7">
        <f>IF(COUNT($I$2:I90)=0,"",SUM($I$2:I90))</f>
        <v/>
      </c>
      <c r="M90" s="3" t="n"/>
      <c r="N90" s="3" t="n"/>
    </row>
    <row r="91">
      <c r="A91" s="2" t="n">
        <v>90</v>
      </c>
      <c r="B91" s="3" t="n"/>
      <c r="C91" s="3" t="n"/>
      <c r="D91" s="3" t="n"/>
      <c r="E91" s="4" t="n"/>
      <c r="F91" s="4" t="n"/>
      <c r="G91" s="4" t="n"/>
      <c r="H91" s="5" t="n"/>
      <c r="I91" s="6">
        <f>IF(OR(E91="",F91="",G91="",D91=""),"",IFERROR(IF(D91="Long",(G91-E91)/(E91-F91),(E91-G91)/(F91-E91)),""))</f>
        <v/>
      </c>
      <c r="J91" s="5">
        <f>IF(OR(I91="",H91=""),"",I91*H91)</f>
        <v/>
      </c>
      <c r="K91" s="2">
        <f>IF(OR(E91="",G91="",D91=""),"",IF(ROUND(IF(D91="Long",G91-E91,E91-G91),8)=0,"BE",IF(IF(D91="Long",G91-E91,E91-G91)&gt;0,"Zysk","Strata")))</f>
        <v/>
      </c>
      <c r="L91" s="7">
        <f>IF(COUNT($I$2:I91)=0,"",SUM($I$2:I91))</f>
        <v/>
      </c>
      <c r="M91" s="3" t="n"/>
      <c r="N91" s="3" t="n"/>
    </row>
    <row r="92">
      <c r="A92" s="2" t="n">
        <v>91</v>
      </c>
      <c r="B92" s="3" t="n"/>
      <c r="C92" s="3" t="n"/>
      <c r="D92" s="3" t="n"/>
      <c r="E92" s="4" t="n"/>
      <c r="F92" s="4" t="n"/>
      <c r="G92" s="4" t="n"/>
      <c r="H92" s="5" t="n"/>
      <c r="I92" s="6">
        <f>IF(OR(E92="",F92="",G92="",D92=""),"",IFERROR(IF(D92="Long",(G92-E92)/(E92-F92),(E92-G92)/(F92-E92)),""))</f>
        <v/>
      </c>
      <c r="J92" s="5">
        <f>IF(OR(I92="",H92=""),"",I92*H92)</f>
        <v/>
      </c>
      <c r="K92" s="2">
        <f>IF(OR(E92="",G92="",D92=""),"",IF(ROUND(IF(D92="Long",G92-E92,E92-G92),8)=0,"BE",IF(IF(D92="Long",G92-E92,E92-G92)&gt;0,"Zysk","Strata")))</f>
        <v/>
      </c>
      <c r="L92" s="7">
        <f>IF(COUNT($I$2:I92)=0,"",SUM($I$2:I92))</f>
        <v/>
      </c>
      <c r="M92" s="3" t="n"/>
      <c r="N92" s="3" t="n"/>
    </row>
    <row r="93">
      <c r="A93" s="2" t="n">
        <v>92</v>
      </c>
      <c r="B93" s="3" t="n"/>
      <c r="C93" s="3" t="n"/>
      <c r="D93" s="3" t="n"/>
      <c r="E93" s="4" t="n"/>
      <c r="F93" s="4" t="n"/>
      <c r="G93" s="4" t="n"/>
      <c r="H93" s="5" t="n"/>
      <c r="I93" s="6">
        <f>IF(OR(E93="",F93="",G93="",D93=""),"",IFERROR(IF(D93="Long",(G93-E93)/(E93-F93),(E93-G93)/(F93-E93)),""))</f>
        <v/>
      </c>
      <c r="J93" s="5">
        <f>IF(OR(I93="",H93=""),"",I93*H93)</f>
        <v/>
      </c>
      <c r="K93" s="2">
        <f>IF(OR(E93="",G93="",D93=""),"",IF(ROUND(IF(D93="Long",G93-E93,E93-G93),8)=0,"BE",IF(IF(D93="Long",G93-E93,E93-G93)&gt;0,"Zysk","Strata")))</f>
        <v/>
      </c>
      <c r="L93" s="7">
        <f>IF(COUNT($I$2:I93)=0,"",SUM($I$2:I93))</f>
        <v/>
      </c>
      <c r="M93" s="3" t="n"/>
      <c r="N93" s="3" t="n"/>
    </row>
    <row r="94">
      <c r="A94" s="2" t="n">
        <v>93</v>
      </c>
      <c r="B94" s="3" t="n"/>
      <c r="C94" s="3" t="n"/>
      <c r="D94" s="3" t="n"/>
      <c r="E94" s="4" t="n"/>
      <c r="F94" s="4" t="n"/>
      <c r="G94" s="4" t="n"/>
      <c r="H94" s="5" t="n"/>
      <c r="I94" s="6">
        <f>IF(OR(E94="",F94="",G94="",D94=""),"",IFERROR(IF(D94="Long",(G94-E94)/(E94-F94),(E94-G94)/(F94-E94)),""))</f>
        <v/>
      </c>
      <c r="J94" s="5">
        <f>IF(OR(I94="",H94=""),"",I94*H94)</f>
        <v/>
      </c>
      <c r="K94" s="2">
        <f>IF(OR(E94="",G94="",D94=""),"",IF(ROUND(IF(D94="Long",G94-E94,E94-G94),8)=0,"BE",IF(IF(D94="Long",G94-E94,E94-G94)&gt;0,"Zysk","Strata")))</f>
        <v/>
      </c>
      <c r="L94" s="7">
        <f>IF(COUNT($I$2:I94)=0,"",SUM($I$2:I94))</f>
        <v/>
      </c>
      <c r="M94" s="3" t="n"/>
      <c r="N94" s="3" t="n"/>
    </row>
    <row r="95">
      <c r="A95" s="2" t="n">
        <v>94</v>
      </c>
      <c r="B95" s="3" t="n"/>
      <c r="C95" s="3" t="n"/>
      <c r="D95" s="3" t="n"/>
      <c r="E95" s="4" t="n"/>
      <c r="F95" s="4" t="n"/>
      <c r="G95" s="4" t="n"/>
      <c r="H95" s="5" t="n"/>
      <c r="I95" s="6">
        <f>IF(OR(E95="",F95="",G95="",D95=""),"",IFERROR(IF(D95="Long",(G95-E95)/(E95-F95),(E95-G95)/(F95-E95)),""))</f>
        <v/>
      </c>
      <c r="J95" s="5">
        <f>IF(OR(I95="",H95=""),"",I95*H95)</f>
        <v/>
      </c>
      <c r="K95" s="2">
        <f>IF(OR(E95="",G95="",D95=""),"",IF(ROUND(IF(D95="Long",G95-E95,E95-G95),8)=0,"BE",IF(IF(D95="Long",G95-E95,E95-G95)&gt;0,"Zysk","Strata")))</f>
        <v/>
      </c>
      <c r="L95" s="7">
        <f>IF(COUNT($I$2:I95)=0,"",SUM($I$2:I95))</f>
        <v/>
      </c>
      <c r="M95" s="3" t="n"/>
      <c r="N95" s="3" t="n"/>
    </row>
    <row r="96">
      <c r="A96" s="2" t="n">
        <v>95</v>
      </c>
      <c r="B96" s="3" t="n"/>
      <c r="C96" s="3" t="n"/>
      <c r="D96" s="3" t="n"/>
      <c r="E96" s="4" t="n"/>
      <c r="F96" s="4" t="n"/>
      <c r="G96" s="4" t="n"/>
      <c r="H96" s="5" t="n"/>
      <c r="I96" s="6">
        <f>IF(OR(E96="",F96="",G96="",D96=""),"",IFERROR(IF(D96="Long",(G96-E96)/(E96-F96),(E96-G96)/(F96-E96)),""))</f>
        <v/>
      </c>
      <c r="J96" s="5">
        <f>IF(OR(I96="",H96=""),"",I96*H96)</f>
        <v/>
      </c>
      <c r="K96" s="2">
        <f>IF(OR(E96="",G96="",D96=""),"",IF(ROUND(IF(D96="Long",G96-E96,E96-G96),8)=0,"BE",IF(IF(D96="Long",G96-E96,E96-G96)&gt;0,"Zysk","Strata")))</f>
        <v/>
      </c>
      <c r="L96" s="7">
        <f>IF(COUNT($I$2:I96)=0,"",SUM($I$2:I96))</f>
        <v/>
      </c>
      <c r="M96" s="3" t="n"/>
      <c r="N96" s="3" t="n"/>
    </row>
    <row r="97">
      <c r="A97" s="2" t="n">
        <v>96</v>
      </c>
      <c r="B97" s="3" t="n"/>
      <c r="C97" s="3" t="n"/>
      <c r="D97" s="3" t="n"/>
      <c r="E97" s="4" t="n"/>
      <c r="F97" s="4" t="n"/>
      <c r="G97" s="4" t="n"/>
      <c r="H97" s="5" t="n"/>
      <c r="I97" s="6">
        <f>IF(OR(E97="",F97="",G97="",D97=""),"",IFERROR(IF(D97="Long",(G97-E97)/(E97-F97),(E97-G97)/(F97-E97)),""))</f>
        <v/>
      </c>
      <c r="J97" s="5">
        <f>IF(OR(I97="",H97=""),"",I97*H97)</f>
        <v/>
      </c>
      <c r="K97" s="2">
        <f>IF(OR(E97="",G97="",D97=""),"",IF(ROUND(IF(D97="Long",G97-E97,E97-G97),8)=0,"BE",IF(IF(D97="Long",G97-E97,E97-G97)&gt;0,"Zysk","Strata")))</f>
        <v/>
      </c>
      <c r="L97" s="7">
        <f>IF(COUNT($I$2:I97)=0,"",SUM($I$2:I97))</f>
        <v/>
      </c>
      <c r="M97" s="3" t="n"/>
      <c r="N97" s="3" t="n"/>
    </row>
    <row r="98">
      <c r="A98" s="2" t="n">
        <v>97</v>
      </c>
      <c r="B98" s="3" t="n"/>
      <c r="C98" s="3" t="n"/>
      <c r="D98" s="3" t="n"/>
      <c r="E98" s="4" t="n"/>
      <c r="F98" s="4" t="n"/>
      <c r="G98" s="4" t="n"/>
      <c r="H98" s="5" t="n"/>
      <c r="I98" s="6">
        <f>IF(OR(E98="",F98="",G98="",D98=""),"",IFERROR(IF(D98="Long",(G98-E98)/(E98-F98),(E98-G98)/(F98-E98)),""))</f>
        <v/>
      </c>
      <c r="J98" s="5">
        <f>IF(OR(I98="",H98=""),"",I98*H98)</f>
        <v/>
      </c>
      <c r="K98" s="2">
        <f>IF(OR(E98="",G98="",D98=""),"",IF(ROUND(IF(D98="Long",G98-E98,E98-G98),8)=0,"BE",IF(IF(D98="Long",G98-E98,E98-G98)&gt;0,"Zysk","Strata")))</f>
        <v/>
      </c>
      <c r="L98" s="7">
        <f>IF(COUNT($I$2:I98)=0,"",SUM($I$2:I98))</f>
        <v/>
      </c>
      <c r="M98" s="3" t="n"/>
      <c r="N98" s="3" t="n"/>
    </row>
    <row r="99">
      <c r="A99" s="2" t="n">
        <v>98</v>
      </c>
      <c r="B99" s="3" t="n"/>
      <c r="C99" s="3" t="n"/>
      <c r="D99" s="3" t="n"/>
      <c r="E99" s="4" t="n"/>
      <c r="F99" s="4" t="n"/>
      <c r="G99" s="4" t="n"/>
      <c r="H99" s="5" t="n"/>
      <c r="I99" s="6">
        <f>IF(OR(E99="",F99="",G99="",D99=""),"",IFERROR(IF(D99="Long",(G99-E99)/(E99-F99),(E99-G99)/(F99-E99)),""))</f>
        <v/>
      </c>
      <c r="J99" s="5">
        <f>IF(OR(I99="",H99=""),"",I99*H99)</f>
        <v/>
      </c>
      <c r="K99" s="2">
        <f>IF(OR(E99="",G99="",D99=""),"",IF(ROUND(IF(D99="Long",G99-E99,E99-G99),8)=0,"BE",IF(IF(D99="Long",G99-E99,E99-G99)&gt;0,"Zysk","Strata")))</f>
        <v/>
      </c>
      <c r="L99" s="7">
        <f>IF(COUNT($I$2:I99)=0,"",SUM($I$2:I99))</f>
        <v/>
      </c>
      <c r="M99" s="3" t="n"/>
      <c r="N99" s="3" t="n"/>
    </row>
    <row r="100">
      <c r="A100" s="2" t="n">
        <v>99</v>
      </c>
      <c r="B100" s="3" t="n"/>
      <c r="C100" s="3" t="n"/>
      <c r="D100" s="3" t="n"/>
      <c r="E100" s="4" t="n"/>
      <c r="F100" s="4" t="n"/>
      <c r="G100" s="4" t="n"/>
      <c r="H100" s="5" t="n"/>
      <c r="I100" s="6">
        <f>IF(OR(E100="",F100="",G100="",D100=""),"",IFERROR(IF(D100="Long",(G100-E100)/(E100-F100),(E100-G100)/(F100-E100)),""))</f>
        <v/>
      </c>
      <c r="J100" s="5">
        <f>IF(OR(I100="",H100=""),"",I100*H100)</f>
        <v/>
      </c>
      <c r="K100" s="2">
        <f>IF(OR(E100="",G100="",D100=""),"",IF(ROUND(IF(D100="Long",G100-E100,E100-G100),8)=0,"BE",IF(IF(D100="Long",G100-E100,E100-G100)&gt;0,"Zysk","Strata")))</f>
        <v/>
      </c>
      <c r="L100" s="7">
        <f>IF(COUNT($I$2:I100)=0,"",SUM($I$2:I100))</f>
        <v/>
      </c>
      <c r="M100" s="3" t="n"/>
      <c r="N100" s="3" t="n"/>
    </row>
    <row r="101">
      <c r="A101" s="2" t="n">
        <v>100</v>
      </c>
      <c r="B101" s="3" t="n"/>
      <c r="C101" s="3" t="n"/>
      <c r="D101" s="3" t="n"/>
      <c r="E101" s="4" t="n"/>
      <c r="F101" s="4" t="n"/>
      <c r="G101" s="4" t="n"/>
      <c r="H101" s="5" t="n"/>
      <c r="I101" s="6">
        <f>IF(OR(E101="",F101="",G101="",D101=""),"",IFERROR(IF(D101="Long",(G101-E101)/(E101-F101),(E101-G101)/(F101-E101)),""))</f>
        <v/>
      </c>
      <c r="J101" s="5">
        <f>IF(OR(I101="",H101=""),"",I101*H101)</f>
        <v/>
      </c>
      <c r="K101" s="2">
        <f>IF(OR(E101="",G101="",D101=""),"",IF(ROUND(IF(D101="Long",G101-E101,E101-G101),8)=0,"BE",IF(IF(D101="Long",G101-E101,E101-G101)&gt;0,"Zysk","Strata")))</f>
        <v/>
      </c>
      <c r="L101" s="7">
        <f>IF(COUNT($I$2:I101)=0,"",SUM($I$2:I101))</f>
        <v/>
      </c>
      <c r="M101" s="3" t="n"/>
      <c r="N101" s="3" t="n"/>
    </row>
    <row r="102">
      <c r="A102" s="2" t="n">
        <v>101</v>
      </c>
      <c r="B102" s="3" t="n"/>
      <c r="C102" s="3" t="n"/>
      <c r="D102" s="3" t="n"/>
      <c r="E102" s="4" t="n"/>
      <c r="F102" s="4" t="n"/>
      <c r="G102" s="4" t="n"/>
      <c r="H102" s="5" t="n"/>
      <c r="I102" s="6">
        <f>IF(OR(E102="",F102="",G102="",D102=""),"",IFERROR(IF(D102="Long",(G102-E102)/(E102-F102),(E102-G102)/(F102-E102)),""))</f>
        <v/>
      </c>
      <c r="J102" s="5">
        <f>IF(OR(I102="",H102=""),"",I102*H102)</f>
        <v/>
      </c>
      <c r="K102" s="2">
        <f>IF(OR(E102="",G102="",D102=""),"",IF(ROUND(IF(D102="Long",G102-E102,E102-G102),8)=0,"BE",IF(IF(D102="Long",G102-E102,E102-G102)&gt;0,"Zysk","Strata")))</f>
        <v/>
      </c>
      <c r="L102" s="7">
        <f>IF(COUNT($I$2:I102)=0,"",SUM($I$2:I102))</f>
        <v/>
      </c>
      <c r="M102" s="3" t="n"/>
      <c r="N102" s="3" t="n"/>
    </row>
    <row r="103">
      <c r="A103" s="2" t="n">
        <v>102</v>
      </c>
      <c r="B103" s="3" t="n"/>
      <c r="C103" s="3" t="n"/>
      <c r="D103" s="3" t="n"/>
      <c r="E103" s="4" t="n"/>
      <c r="F103" s="4" t="n"/>
      <c r="G103" s="4" t="n"/>
      <c r="H103" s="5" t="n"/>
      <c r="I103" s="6">
        <f>IF(OR(E103="",F103="",G103="",D103=""),"",IFERROR(IF(D103="Long",(G103-E103)/(E103-F103),(E103-G103)/(F103-E103)),""))</f>
        <v/>
      </c>
      <c r="J103" s="5">
        <f>IF(OR(I103="",H103=""),"",I103*H103)</f>
        <v/>
      </c>
      <c r="K103" s="2">
        <f>IF(OR(E103="",G103="",D103=""),"",IF(ROUND(IF(D103="Long",G103-E103,E103-G103),8)=0,"BE",IF(IF(D103="Long",G103-E103,E103-G103)&gt;0,"Zysk","Strata")))</f>
        <v/>
      </c>
      <c r="L103" s="7">
        <f>IF(COUNT($I$2:I103)=0,"",SUM($I$2:I103))</f>
        <v/>
      </c>
      <c r="M103" s="3" t="n"/>
      <c r="N103" s="3" t="n"/>
    </row>
    <row r="104">
      <c r="A104" s="2" t="n">
        <v>103</v>
      </c>
      <c r="B104" s="3" t="n"/>
      <c r="C104" s="3" t="n"/>
      <c r="D104" s="3" t="n"/>
      <c r="E104" s="4" t="n"/>
      <c r="F104" s="4" t="n"/>
      <c r="G104" s="4" t="n"/>
      <c r="H104" s="5" t="n"/>
      <c r="I104" s="6">
        <f>IF(OR(E104="",F104="",G104="",D104=""),"",IFERROR(IF(D104="Long",(G104-E104)/(E104-F104),(E104-G104)/(F104-E104)),""))</f>
        <v/>
      </c>
      <c r="J104" s="5">
        <f>IF(OR(I104="",H104=""),"",I104*H104)</f>
        <v/>
      </c>
      <c r="K104" s="2">
        <f>IF(OR(E104="",G104="",D104=""),"",IF(ROUND(IF(D104="Long",G104-E104,E104-G104),8)=0,"BE",IF(IF(D104="Long",G104-E104,E104-G104)&gt;0,"Zysk","Strata")))</f>
        <v/>
      </c>
      <c r="L104" s="7">
        <f>IF(COUNT($I$2:I104)=0,"",SUM($I$2:I104))</f>
        <v/>
      </c>
      <c r="M104" s="3" t="n"/>
      <c r="N104" s="3" t="n"/>
    </row>
    <row r="105">
      <c r="A105" s="2" t="n">
        <v>104</v>
      </c>
      <c r="B105" s="3" t="n"/>
      <c r="C105" s="3" t="n"/>
      <c r="D105" s="3" t="n"/>
      <c r="E105" s="4" t="n"/>
      <c r="F105" s="4" t="n"/>
      <c r="G105" s="4" t="n"/>
      <c r="H105" s="5" t="n"/>
      <c r="I105" s="6">
        <f>IF(OR(E105="",F105="",G105="",D105=""),"",IFERROR(IF(D105="Long",(G105-E105)/(E105-F105),(E105-G105)/(F105-E105)),""))</f>
        <v/>
      </c>
      <c r="J105" s="5">
        <f>IF(OR(I105="",H105=""),"",I105*H105)</f>
        <v/>
      </c>
      <c r="K105" s="2">
        <f>IF(OR(E105="",G105="",D105=""),"",IF(ROUND(IF(D105="Long",G105-E105,E105-G105),8)=0,"BE",IF(IF(D105="Long",G105-E105,E105-G105)&gt;0,"Zysk","Strata")))</f>
        <v/>
      </c>
      <c r="L105" s="7">
        <f>IF(COUNT($I$2:I105)=0,"",SUM($I$2:I105))</f>
        <v/>
      </c>
      <c r="M105" s="3" t="n"/>
      <c r="N105" s="3" t="n"/>
    </row>
    <row r="106">
      <c r="A106" s="2" t="n">
        <v>105</v>
      </c>
      <c r="B106" s="3" t="n"/>
      <c r="C106" s="3" t="n"/>
      <c r="D106" s="3" t="n"/>
      <c r="E106" s="4" t="n"/>
      <c r="F106" s="4" t="n"/>
      <c r="G106" s="4" t="n"/>
      <c r="H106" s="5" t="n"/>
      <c r="I106" s="6">
        <f>IF(OR(E106="",F106="",G106="",D106=""),"",IFERROR(IF(D106="Long",(G106-E106)/(E106-F106),(E106-G106)/(F106-E106)),""))</f>
        <v/>
      </c>
      <c r="J106" s="5">
        <f>IF(OR(I106="",H106=""),"",I106*H106)</f>
        <v/>
      </c>
      <c r="K106" s="2">
        <f>IF(OR(E106="",G106="",D106=""),"",IF(ROUND(IF(D106="Long",G106-E106,E106-G106),8)=0,"BE",IF(IF(D106="Long",G106-E106,E106-G106)&gt;0,"Zysk","Strata")))</f>
        <v/>
      </c>
      <c r="L106" s="7">
        <f>IF(COUNT($I$2:I106)=0,"",SUM($I$2:I106))</f>
        <v/>
      </c>
      <c r="M106" s="3" t="n"/>
      <c r="N106" s="3" t="n"/>
    </row>
    <row r="107">
      <c r="A107" s="2" t="n">
        <v>106</v>
      </c>
      <c r="B107" s="3" t="n"/>
      <c r="C107" s="3" t="n"/>
      <c r="D107" s="3" t="n"/>
      <c r="E107" s="4" t="n"/>
      <c r="F107" s="4" t="n"/>
      <c r="G107" s="4" t="n"/>
      <c r="H107" s="5" t="n"/>
      <c r="I107" s="6">
        <f>IF(OR(E107="",F107="",G107="",D107=""),"",IFERROR(IF(D107="Long",(G107-E107)/(E107-F107),(E107-G107)/(F107-E107)),""))</f>
        <v/>
      </c>
      <c r="J107" s="5">
        <f>IF(OR(I107="",H107=""),"",I107*H107)</f>
        <v/>
      </c>
      <c r="K107" s="2">
        <f>IF(OR(E107="",G107="",D107=""),"",IF(ROUND(IF(D107="Long",G107-E107,E107-G107),8)=0,"BE",IF(IF(D107="Long",G107-E107,E107-G107)&gt;0,"Zysk","Strata")))</f>
        <v/>
      </c>
      <c r="L107" s="7">
        <f>IF(COUNT($I$2:I107)=0,"",SUM($I$2:I107))</f>
        <v/>
      </c>
      <c r="M107" s="3" t="n"/>
      <c r="N107" s="3" t="n"/>
    </row>
    <row r="108">
      <c r="A108" s="2" t="n">
        <v>107</v>
      </c>
      <c r="B108" s="3" t="n"/>
      <c r="C108" s="3" t="n"/>
      <c r="D108" s="3" t="n"/>
      <c r="E108" s="4" t="n"/>
      <c r="F108" s="4" t="n"/>
      <c r="G108" s="4" t="n"/>
      <c r="H108" s="5" t="n"/>
      <c r="I108" s="6">
        <f>IF(OR(E108="",F108="",G108="",D108=""),"",IFERROR(IF(D108="Long",(G108-E108)/(E108-F108),(E108-G108)/(F108-E108)),""))</f>
        <v/>
      </c>
      <c r="J108" s="5">
        <f>IF(OR(I108="",H108=""),"",I108*H108)</f>
        <v/>
      </c>
      <c r="K108" s="2">
        <f>IF(OR(E108="",G108="",D108=""),"",IF(ROUND(IF(D108="Long",G108-E108,E108-G108),8)=0,"BE",IF(IF(D108="Long",G108-E108,E108-G108)&gt;0,"Zysk","Strata")))</f>
        <v/>
      </c>
      <c r="L108" s="7">
        <f>IF(COUNT($I$2:I108)=0,"",SUM($I$2:I108))</f>
        <v/>
      </c>
      <c r="M108" s="3" t="n"/>
      <c r="N108" s="3" t="n"/>
    </row>
    <row r="109">
      <c r="A109" s="2" t="n">
        <v>108</v>
      </c>
      <c r="B109" s="3" t="n"/>
      <c r="C109" s="3" t="n"/>
      <c r="D109" s="3" t="n"/>
      <c r="E109" s="4" t="n"/>
      <c r="F109" s="4" t="n"/>
      <c r="G109" s="4" t="n"/>
      <c r="H109" s="5" t="n"/>
      <c r="I109" s="6">
        <f>IF(OR(E109="",F109="",G109="",D109=""),"",IFERROR(IF(D109="Long",(G109-E109)/(E109-F109),(E109-G109)/(F109-E109)),""))</f>
        <v/>
      </c>
      <c r="J109" s="5">
        <f>IF(OR(I109="",H109=""),"",I109*H109)</f>
        <v/>
      </c>
      <c r="K109" s="2">
        <f>IF(OR(E109="",G109="",D109=""),"",IF(ROUND(IF(D109="Long",G109-E109,E109-G109),8)=0,"BE",IF(IF(D109="Long",G109-E109,E109-G109)&gt;0,"Zysk","Strata")))</f>
        <v/>
      </c>
      <c r="L109" s="7">
        <f>IF(COUNT($I$2:I109)=0,"",SUM($I$2:I109))</f>
        <v/>
      </c>
      <c r="M109" s="3" t="n"/>
      <c r="N109" s="3" t="n"/>
    </row>
    <row r="110">
      <c r="A110" s="2" t="n">
        <v>109</v>
      </c>
      <c r="B110" s="3" t="n"/>
      <c r="C110" s="3" t="n"/>
      <c r="D110" s="3" t="n"/>
      <c r="E110" s="4" t="n"/>
      <c r="F110" s="4" t="n"/>
      <c r="G110" s="4" t="n"/>
      <c r="H110" s="5" t="n"/>
      <c r="I110" s="6">
        <f>IF(OR(E110="",F110="",G110="",D110=""),"",IFERROR(IF(D110="Long",(G110-E110)/(E110-F110),(E110-G110)/(F110-E110)),""))</f>
        <v/>
      </c>
      <c r="J110" s="5">
        <f>IF(OR(I110="",H110=""),"",I110*H110)</f>
        <v/>
      </c>
      <c r="K110" s="2">
        <f>IF(OR(E110="",G110="",D110=""),"",IF(ROUND(IF(D110="Long",G110-E110,E110-G110),8)=0,"BE",IF(IF(D110="Long",G110-E110,E110-G110)&gt;0,"Zysk","Strata")))</f>
        <v/>
      </c>
      <c r="L110" s="7">
        <f>IF(COUNT($I$2:I110)=0,"",SUM($I$2:I110))</f>
        <v/>
      </c>
      <c r="M110" s="3" t="n"/>
      <c r="N110" s="3" t="n"/>
    </row>
    <row r="111">
      <c r="A111" s="2" t="n">
        <v>110</v>
      </c>
      <c r="B111" s="3" t="n"/>
      <c r="C111" s="3" t="n"/>
      <c r="D111" s="3" t="n"/>
      <c r="E111" s="4" t="n"/>
      <c r="F111" s="4" t="n"/>
      <c r="G111" s="4" t="n"/>
      <c r="H111" s="5" t="n"/>
      <c r="I111" s="6">
        <f>IF(OR(E111="",F111="",G111="",D111=""),"",IFERROR(IF(D111="Long",(G111-E111)/(E111-F111),(E111-G111)/(F111-E111)),""))</f>
        <v/>
      </c>
      <c r="J111" s="5">
        <f>IF(OR(I111="",H111=""),"",I111*H111)</f>
        <v/>
      </c>
      <c r="K111" s="2">
        <f>IF(OR(E111="",G111="",D111=""),"",IF(ROUND(IF(D111="Long",G111-E111,E111-G111),8)=0,"BE",IF(IF(D111="Long",G111-E111,E111-G111)&gt;0,"Zysk","Strata")))</f>
        <v/>
      </c>
      <c r="L111" s="7">
        <f>IF(COUNT($I$2:I111)=0,"",SUM($I$2:I111))</f>
        <v/>
      </c>
      <c r="M111" s="3" t="n"/>
      <c r="N111" s="3" t="n"/>
    </row>
    <row r="112">
      <c r="A112" s="2" t="n">
        <v>111</v>
      </c>
      <c r="B112" s="3" t="n"/>
      <c r="C112" s="3" t="n"/>
      <c r="D112" s="3" t="n"/>
      <c r="E112" s="4" t="n"/>
      <c r="F112" s="4" t="n"/>
      <c r="G112" s="4" t="n"/>
      <c r="H112" s="5" t="n"/>
      <c r="I112" s="6">
        <f>IF(OR(E112="",F112="",G112="",D112=""),"",IFERROR(IF(D112="Long",(G112-E112)/(E112-F112),(E112-G112)/(F112-E112)),""))</f>
        <v/>
      </c>
      <c r="J112" s="5">
        <f>IF(OR(I112="",H112=""),"",I112*H112)</f>
        <v/>
      </c>
      <c r="K112" s="2">
        <f>IF(OR(E112="",G112="",D112=""),"",IF(ROUND(IF(D112="Long",G112-E112,E112-G112),8)=0,"BE",IF(IF(D112="Long",G112-E112,E112-G112)&gt;0,"Zysk","Strata")))</f>
        <v/>
      </c>
      <c r="L112" s="7">
        <f>IF(COUNT($I$2:I112)=0,"",SUM($I$2:I112))</f>
        <v/>
      </c>
      <c r="M112" s="3" t="n"/>
      <c r="N112" s="3" t="n"/>
    </row>
    <row r="113">
      <c r="A113" s="2" t="n">
        <v>112</v>
      </c>
      <c r="B113" s="3" t="n"/>
      <c r="C113" s="3" t="n"/>
      <c r="D113" s="3" t="n"/>
      <c r="E113" s="4" t="n"/>
      <c r="F113" s="4" t="n"/>
      <c r="G113" s="4" t="n"/>
      <c r="H113" s="5" t="n"/>
      <c r="I113" s="6">
        <f>IF(OR(E113="",F113="",G113="",D113=""),"",IFERROR(IF(D113="Long",(G113-E113)/(E113-F113),(E113-G113)/(F113-E113)),""))</f>
        <v/>
      </c>
      <c r="J113" s="5">
        <f>IF(OR(I113="",H113=""),"",I113*H113)</f>
        <v/>
      </c>
      <c r="K113" s="2">
        <f>IF(OR(E113="",G113="",D113=""),"",IF(ROUND(IF(D113="Long",G113-E113,E113-G113),8)=0,"BE",IF(IF(D113="Long",G113-E113,E113-G113)&gt;0,"Zysk","Strata")))</f>
        <v/>
      </c>
      <c r="L113" s="7">
        <f>IF(COUNT($I$2:I113)=0,"",SUM($I$2:I113))</f>
        <v/>
      </c>
      <c r="M113" s="3" t="n"/>
      <c r="N113" s="3" t="n"/>
    </row>
    <row r="114">
      <c r="A114" s="2" t="n">
        <v>113</v>
      </c>
      <c r="B114" s="3" t="n"/>
      <c r="C114" s="3" t="n"/>
      <c r="D114" s="3" t="n"/>
      <c r="E114" s="4" t="n"/>
      <c r="F114" s="4" t="n"/>
      <c r="G114" s="4" t="n"/>
      <c r="H114" s="5" t="n"/>
      <c r="I114" s="6">
        <f>IF(OR(E114="",F114="",G114="",D114=""),"",IFERROR(IF(D114="Long",(G114-E114)/(E114-F114),(E114-G114)/(F114-E114)),""))</f>
        <v/>
      </c>
      <c r="J114" s="5">
        <f>IF(OR(I114="",H114=""),"",I114*H114)</f>
        <v/>
      </c>
      <c r="K114" s="2">
        <f>IF(OR(E114="",G114="",D114=""),"",IF(ROUND(IF(D114="Long",G114-E114,E114-G114),8)=0,"BE",IF(IF(D114="Long",G114-E114,E114-G114)&gt;0,"Zysk","Strata")))</f>
        <v/>
      </c>
      <c r="L114" s="7">
        <f>IF(COUNT($I$2:I114)=0,"",SUM($I$2:I114))</f>
        <v/>
      </c>
      <c r="M114" s="3" t="n"/>
      <c r="N114" s="3" t="n"/>
    </row>
    <row r="115">
      <c r="A115" s="2" t="n">
        <v>114</v>
      </c>
      <c r="B115" s="3" t="n"/>
      <c r="C115" s="3" t="n"/>
      <c r="D115" s="3" t="n"/>
      <c r="E115" s="4" t="n"/>
      <c r="F115" s="4" t="n"/>
      <c r="G115" s="4" t="n"/>
      <c r="H115" s="5" t="n"/>
      <c r="I115" s="6">
        <f>IF(OR(E115="",F115="",G115="",D115=""),"",IFERROR(IF(D115="Long",(G115-E115)/(E115-F115),(E115-G115)/(F115-E115)),""))</f>
        <v/>
      </c>
      <c r="J115" s="5">
        <f>IF(OR(I115="",H115=""),"",I115*H115)</f>
        <v/>
      </c>
      <c r="K115" s="2">
        <f>IF(OR(E115="",G115="",D115=""),"",IF(ROUND(IF(D115="Long",G115-E115,E115-G115),8)=0,"BE",IF(IF(D115="Long",G115-E115,E115-G115)&gt;0,"Zysk","Strata")))</f>
        <v/>
      </c>
      <c r="L115" s="7">
        <f>IF(COUNT($I$2:I115)=0,"",SUM($I$2:I115))</f>
        <v/>
      </c>
      <c r="M115" s="3" t="n"/>
      <c r="N115" s="3" t="n"/>
    </row>
    <row r="116">
      <c r="A116" s="2" t="n">
        <v>115</v>
      </c>
      <c r="B116" s="3" t="n"/>
      <c r="C116" s="3" t="n"/>
      <c r="D116" s="3" t="n"/>
      <c r="E116" s="4" t="n"/>
      <c r="F116" s="4" t="n"/>
      <c r="G116" s="4" t="n"/>
      <c r="H116" s="5" t="n"/>
      <c r="I116" s="6">
        <f>IF(OR(E116="",F116="",G116="",D116=""),"",IFERROR(IF(D116="Long",(G116-E116)/(E116-F116),(E116-G116)/(F116-E116)),""))</f>
        <v/>
      </c>
      <c r="J116" s="5">
        <f>IF(OR(I116="",H116=""),"",I116*H116)</f>
        <v/>
      </c>
      <c r="K116" s="2">
        <f>IF(OR(E116="",G116="",D116=""),"",IF(ROUND(IF(D116="Long",G116-E116,E116-G116),8)=0,"BE",IF(IF(D116="Long",G116-E116,E116-G116)&gt;0,"Zysk","Strata")))</f>
        <v/>
      </c>
      <c r="L116" s="7">
        <f>IF(COUNT($I$2:I116)=0,"",SUM($I$2:I116))</f>
        <v/>
      </c>
      <c r="M116" s="3" t="n"/>
      <c r="N116" s="3" t="n"/>
    </row>
    <row r="117">
      <c r="A117" s="2" t="n">
        <v>116</v>
      </c>
      <c r="B117" s="3" t="n"/>
      <c r="C117" s="3" t="n"/>
      <c r="D117" s="3" t="n"/>
      <c r="E117" s="4" t="n"/>
      <c r="F117" s="4" t="n"/>
      <c r="G117" s="4" t="n"/>
      <c r="H117" s="5" t="n"/>
      <c r="I117" s="6">
        <f>IF(OR(E117="",F117="",G117="",D117=""),"",IFERROR(IF(D117="Long",(G117-E117)/(E117-F117),(E117-G117)/(F117-E117)),""))</f>
        <v/>
      </c>
      <c r="J117" s="5">
        <f>IF(OR(I117="",H117=""),"",I117*H117)</f>
        <v/>
      </c>
      <c r="K117" s="2">
        <f>IF(OR(E117="",G117="",D117=""),"",IF(ROUND(IF(D117="Long",G117-E117,E117-G117),8)=0,"BE",IF(IF(D117="Long",G117-E117,E117-G117)&gt;0,"Zysk","Strata")))</f>
        <v/>
      </c>
      <c r="L117" s="7">
        <f>IF(COUNT($I$2:I117)=0,"",SUM($I$2:I117))</f>
        <v/>
      </c>
      <c r="M117" s="3" t="n"/>
      <c r="N117" s="3" t="n"/>
    </row>
    <row r="118">
      <c r="A118" s="2" t="n">
        <v>117</v>
      </c>
      <c r="B118" s="3" t="n"/>
      <c r="C118" s="3" t="n"/>
      <c r="D118" s="3" t="n"/>
      <c r="E118" s="4" t="n"/>
      <c r="F118" s="4" t="n"/>
      <c r="G118" s="4" t="n"/>
      <c r="H118" s="5" t="n"/>
      <c r="I118" s="6">
        <f>IF(OR(E118="",F118="",G118="",D118=""),"",IFERROR(IF(D118="Long",(G118-E118)/(E118-F118),(E118-G118)/(F118-E118)),""))</f>
        <v/>
      </c>
      <c r="J118" s="5">
        <f>IF(OR(I118="",H118=""),"",I118*H118)</f>
        <v/>
      </c>
      <c r="K118" s="2">
        <f>IF(OR(E118="",G118="",D118=""),"",IF(ROUND(IF(D118="Long",G118-E118,E118-G118),8)=0,"BE",IF(IF(D118="Long",G118-E118,E118-G118)&gt;0,"Zysk","Strata")))</f>
        <v/>
      </c>
      <c r="L118" s="7">
        <f>IF(COUNT($I$2:I118)=0,"",SUM($I$2:I118))</f>
        <v/>
      </c>
      <c r="M118" s="3" t="n"/>
      <c r="N118" s="3" t="n"/>
    </row>
    <row r="119">
      <c r="A119" s="2" t="n">
        <v>118</v>
      </c>
      <c r="B119" s="3" t="n"/>
      <c r="C119" s="3" t="n"/>
      <c r="D119" s="3" t="n"/>
      <c r="E119" s="4" t="n"/>
      <c r="F119" s="4" t="n"/>
      <c r="G119" s="4" t="n"/>
      <c r="H119" s="5" t="n"/>
      <c r="I119" s="6">
        <f>IF(OR(E119="",F119="",G119="",D119=""),"",IFERROR(IF(D119="Long",(G119-E119)/(E119-F119),(E119-G119)/(F119-E119)),""))</f>
        <v/>
      </c>
      <c r="J119" s="5">
        <f>IF(OR(I119="",H119=""),"",I119*H119)</f>
        <v/>
      </c>
      <c r="K119" s="2">
        <f>IF(OR(E119="",G119="",D119=""),"",IF(ROUND(IF(D119="Long",G119-E119,E119-G119),8)=0,"BE",IF(IF(D119="Long",G119-E119,E119-G119)&gt;0,"Zysk","Strata")))</f>
        <v/>
      </c>
      <c r="L119" s="7">
        <f>IF(COUNT($I$2:I119)=0,"",SUM($I$2:I119))</f>
        <v/>
      </c>
      <c r="M119" s="3" t="n"/>
      <c r="N119" s="3" t="n"/>
    </row>
    <row r="120">
      <c r="A120" s="2" t="n">
        <v>119</v>
      </c>
      <c r="B120" s="3" t="n"/>
      <c r="C120" s="3" t="n"/>
      <c r="D120" s="3" t="n"/>
      <c r="E120" s="4" t="n"/>
      <c r="F120" s="4" t="n"/>
      <c r="G120" s="4" t="n"/>
      <c r="H120" s="5" t="n"/>
      <c r="I120" s="6">
        <f>IF(OR(E120="",F120="",G120="",D120=""),"",IFERROR(IF(D120="Long",(G120-E120)/(E120-F120),(E120-G120)/(F120-E120)),""))</f>
        <v/>
      </c>
      <c r="J120" s="5">
        <f>IF(OR(I120="",H120=""),"",I120*H120)</f>
        <v/>
      </c>
      <c r="K120" s="2">
        <f>IF(OR(E120="",G120="",D120=""),"",IF(ROUND(IF(D120="Long",G120-E120,E120-G120),8)=0,"BE",IF(IF(D120="Long",G120-E120,E120-G120)&gt;0,"Zysk","Strata")))</f>
        <v/>
      </c>
      <c r="L120" s="7">
        <f>IF(COUNT($I$2:I120)=0,"",SUM($I$2:I120))</f>
        <v/>
      </c>
      <c r="M120" s="3" t="n"/>
      <c r="N120" s="3" t="n"/>
    </row>
    <row r="121">
      <c r="A121" s="2" t="n">
        <v>120</v>
      </c>
      <c r="B121" s="3" t="n"/>
      <c r="C121" s="3" t="n"/>
      <c r="D121" s="3" t="n"/>
      <c r="E121" s="4" t="n"/>
      <c r="F121" s="4" t="n"/>
      <c r="G121" s="4" t="n"/>
      <c r="H121" s="5" t="n"/>
      <c r="I121" s="6">
        <f>IF(OR(E121="",F121="",G121="",D121=""),"",IFERROR(IF(D121="Long",(G121-E121)/(E121-F121),(E121-G121)/(F121-E121)),""))</f>
        <v/>
      </c>
      <c r="J121" s="5">
        <f>IF(OR(I121="",H121=""),"",I121*H121)</f>
        <v/>
      </c>
      <c r="K121" s="2">
        <f>IF(OR(E121="",G121="",D121=""),"",IF(ROUND(IF(D121="Long",G121-E121,E121-G121),8)=0,"BE",IF(IF(D121="Long",G121-E121,E121-G121)&gt;0,"Zysk","Strata")))</f>
        <v/>
      </c>
      <c r="L121" s="7">
        <f>IF(COUNT($I$2:I121)=0,"",SUM($I$2:I121))</f>
        <v/>
      </c>
      <c r="M121" s="3" t="n"/>
      <c r="N121" s="3" t="n"/>
    </row>
  </sheetData>
  <conditionalFormatting sqref="K2:K121">
    <cfRule type="cellIs" priority="1" operator="equal" dxfId="0">
      <formula>"Zysk"</formula>
    </cfRule>
    <cfRule type="cellIs" priority="2" operator="equal" dxfId="1">
      <formula>"Strata"</formula>
    </cfRule>
  </conditionalFormatting>
  <conditionalFormatting sqref="I2:I121">
    <cfRule type="cellIs" priority="3" operator="greaterThan" dxfId="2">
      <formula>0</formula>
    </cfRule>
    <cfRule type="cellIs" priority="4" operator="lessThan" dxfId="3">
      <formula>0</formula>
    </cfRule>
  </conditionalFormatting>
  <dataValidations count="2">
    <dataValidation sqref="D2:D121" showDropDown="0" showInputMessage="0" showErrorMessage="0" allowBlank="1" error="Wybierz Long albo Short" type="list">
      <formula1>"Long,Short"</formula1>
    </dataValidation>
    <dataValidation sqref="N2:N121" showDropDown="0" showInputMessage="0" showErrorMessage="0" allowBlank="1" type="list">
      <formula1>"Spokój,Pewność,Strach,Chciwość,FOMO,Zemsta,Nuda"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3" customWidth="1" min="4" max="4"/>
  </cols>
  <sheetData>
    <row r="2">
      <c r="B2" s="8" t="inlineStr">
        <is>
          <t>PODSUMOWANIE DZIENNIKA</t>
        </is>
      </c>
    </row>
    <row r="3">
      <c r="B3" s="9" t="inlineStr">
        <is>
          <t>Liczby przeliczają się same, gdy uzupełniasz arkusz Dziennik.</t>
        </is>
      </c>
    </row>
    <row r="5">
      <c r="B5" s="10" t="inlineStr">
        <is>
          <t>Liczba transakcji</t>
        </is>
      </c>
      <c r="C5" s="11">
        <f>COUNTA(Dziennik!C2:C121)</f>
        <v/>
      </c>
    </row>
    <row r="6">
      <c r="B6" s="10" t="inlineStr">
        <is>
          <t>Zyskownych</t>
        </is>
      </c>
      <c r="C6" s="11">
        <f>COUNTIF(Dziennik!K2:K121,"Zysk")</f>
        <v/>
      </c>
    </row>
    <row r="7">
      <c r="B7" s="10" t="inlineStr">
        <is>
          <t>Stratnych</t>
        </is>
      </c>
      <c r="C7" s="11">
        <f>COUNTIF(Dziennik!K2:K121,"Strata")</f>
        <v/>
      </c>
    </row>
    <row r="8">
      <c r="B8" s="10" t="inlineStr">
        <is>
          <t>Winrate</t>
        </is>
      </c>
      <c r="C8" s="12">
        <f>IFERROR(COUNTIF(Dziennik!K2:K121,"Zysk")/(COUNTIF(Dziennik!K2:K121,"Zysk")+COUNTIF(Dziennik!K2:K121,"Strata")),"")</f>
        <v/>
      </c>
    </row>
    <row r="9">
      <c r="B9" s="10" t="inlineStr">
        <is>
          <t>Suma R</t>
        </is>
      </c>
      <c r="C9" s="13">
        <f>SUM(Dziennik!I2:I121)</f>
        <v/>
      </c>
    </row>
    <row r="10">
      <c r="B10" s="10" t="inlineStr">
        <is>
          <t>Średnie R / transakcję</t>
        </is>
      </c>
      <c r="C10" s="13">
        <f>IFERROR(AVERAGE(Dziennik!I2:I121),"")</f>
        <v/>
      </c>
    </row>
    <row r="11">
      <c r="B11" s="10" t="inlineStr">
        <is>
          <t>Wynik łączny</t>
        </is>
      </c>
      <c r="C11" s="14">
        <f>SUM(Dziennik!J2:J121)</f>
        <v/>
      </c>
    </row>
    <row r="12">
      <c r="B12" s="10" t="inlineStr">
        <is>
          <t>Profit factor</t>
        </is>
      </c>
      <c r="C12" s="15">
        <f>IFERROR(SUMIF(Dziennik!I2:I121,"&gt;0")/-SUMIF(Dziennik!I2:I121,"&lt;0"),"")</f>
        <v/>
      </c>
    </row>
    <row r="13">
      <c r="B13" s="10" t="inlineStr">
        <is>
          <t>Najlepsza (R)</t>
        </is>
      </c>
      <c r="C13" s="16">
        <f>IFERROR(MAX(Dziennik!I2:I121),"")</f>
        <v/>
      </c>
    </row>
    <row r="14">
      <c r="B14" s="10" t="inlineStr">
        <is>
          <t>Najgorsza (R)</t>
        </is>
      </c>
      <c r="C14" s="17">
        <f>IFERROR(MIN(Dziennik!I2:I121),"")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8" t="inlineStr">
        <is>
          <t>Dziennik transakcji — KisielFinanse</t>
        </is>
      </c>
    </row>
    <row r="3">
      <c r="B3" s="19" t="inlineStr">
        <is>
          <t>kisielfinanse.pl/naucz-sie-tradowac</t>
        </is>
      </c>
    </row>
    <row r="4">
      <c r="B4" t="inlineStr"/>
    </row>
    <row r="5">
      <c r="B5" s="20" t="inlineStr">
        <is>
          <t>Jak używać</t>
        </is>
      </c>
    </row>
    <row r="6">
      <c r="B6" s="21" t="inlineStr">
        <is>
          <t>1. Wpisuj transakcje w arkuszu „Dziennik” — jeden wiersz to jedna transakcja.</t>
        </is>
      </c>
    </row>
    <row r="7">
      <c r="B7" s="21" t="inlineStr">
        <is>
          <t>2. Uzupełnij: datę, instrument, kierunek (Long/Short z listy), cenę wejścia, stop loss i wyjścia.</t>
        </is>
      </c>
    </row>
    <row r="8">
      <c r="B8" s="21" t="inlineStr">
        <is>
          <t>3. Kolumny „Wynik (R)”, „Wynik (zł)” i „Wynik” liczą się same. Nic w nich nie wpisuj.</t>
        </is>
      </c>
    </row>
    <row r="9">
      <c r="B9" s="21" t="inlineStr">
        <is>
          <t>4. Arkusz „Podsumowanie” pokazuje winrate, średnie R, profit factor i krzywę kapitału.</t>
        </is>
      </c>
    </row>
    <row r="10">
      <c r="B10" t="inlineStr"/>
    </row>
    <row r="11">
      <c r="B11" s="20" t="inlineStr">
        <is>
          <t>Co to jest R?</t>
        </is>
      </c>
    </row>
    <row r="12">
      <c r="B12" s="21" t="inlineStr">
        <is>
          <t>R to wynik wyrażony w jednostkach ryzyka. 1R = kwota, którą ryzykujesz na transakcji (odległość od wejścia do stop lossa).</t>
        </is>
      </c>
    </row>
    <row r="13">
      <c r="B13" s="21" t="inlineStr">
        <is>
          <t>Przykład: wejście 100, stop loss 98 (ryzyko 2 pkt), wyjście 106 (zysk 6 pkt) → wynik +3R.</t>
        </is>
      </c>
    </row>
    <row r="14">
      <c r="B14" s="21" t="inlineStr">
        <is>
          <t>Myślenie w R uniezależnia ocenę od wielkości pozycji i instrumentu. To język, którym mówią zawodowcy.</t>
        </is>
      </c>
    </row>
    <row r="15">
      <c r="B15" t="inlineStr"/>
    </row>
    <row r="16">
      <c r="B16" s="20" t="inlineStr">
        <is>
          <t>Ryzyko (zł)</t>
        </is>
      </c>
    </row>
    <row r="17">
      <c r="B17" s="21" t="inlineStr">
        <is>
          <t>Kolumna opcjonalna. Wpisz kwotę, którą realnie ryzykujesz na transakcji (np. 100 zł).</t>
        </is>
      </c>
    </row>
    <row r="18">
      <c r="B18" s="21" t="inlineStr">
        <is>
          <t>Dzięki niej „Wynik (zł)” i „Wynik łączny” pokażą rezultat w złotówkach. Bez niej liczy się samo R.</t>
        </is>
      </c>
    </row>
    <row r="19">
      <c r="B19" t="inlineStr"/>
    </row>
    <row r="20">
      <c r="B20" s="20" t="inlineStr">
        <is>
          <t>Dobre nawyki</t>
        </is>
      </c>
    </row>
    <row r="21">
      <c r="B21" s="21" t="inlineStr">
        <is>
          <t>• Zapisuj KAŻDĄ transakcję, także stratną. Dziennik ma wartość tylko wtedy, gdy jest kompletny.</t>
        </is>
      </c>
    </row>
    <row r="22">
      <c r="B22" s="21" t="inlineStr">
        <is>
          <t>• Notuj setup i emocję. Po 30-50 transakcjach zobaczysz swoje powtarzalne błędy.</t>
        </is>
      </c>
    </row>
    <row r="23">
      <c r="B23" s="21" t="inlineStr">
        <is>
          <t>• Przeglądaj dziennik raz w tygodniu. Szukaj wzorców, nie pojedynczych wpadek.</t>
        </is>
      </c>
    </row>
    <row r="24">
      <c r="B24" t="inlineStr"/>
    </row>
    <row r="25">
      <c r="B25" s="9" t="inlineStr">
        <is>
          <t>Materiał edukacyjny. Nie stanowi doradztwa inwestycyjnego. Trading wiąże się z ryzykiem utraty kapitału.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KisielFinanse</dc:creator>
  <dc:title>Dziennik transakcji — KisielFinanse</dc:title>
  <dc:subject>Szablon dziennika transakcji dla traderów</dc:subject>
  <dcterms:created xsi:type="dcterms:W3CDTF">2026-07-03T21:15:05Z</dcterms:created>
  <dcterms:modified xsi:type="dcterms:W3CDTF">2026-07-03T21:15:05Z</dcterms:modified>
</cp:coreProperties>
</file>